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<sst xmlns="http://schemas.openxmlformats.org/spreadsheetml/2006/main" count="390" uniqueCount="283">
  <si>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</si>
  <si>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</si>
  <si>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Conor Bell</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</si>
  <si>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</si>
  <si>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</si>
  <si>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</si>
  <si>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</si>
  <si>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</si>
  <si>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</si>
  <si>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</si>
  <si>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Data Fundamentals</t>
  </si>
  <si>
    <t xml:space="preserve">Databases and Data Lakes</t>
  </si>
  <si>
    <t xml:space="preserve">Programming and Scripting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</si>
  <si>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</si>
  <si>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</si>
  <si>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</si>
  <si>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</si>
  <si>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</si>
  <si>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</si>
  <si>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</si>
  <si>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</si>
  <si>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</si>
  <si>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</si>
  <si>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</si>
  <si>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</si>
  <si>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</si>
  <si>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</si>
  <si>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</si>
  <si>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</si>
  <si>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Yes</t>
  </si>
  <si>
    <t xml:space="preserve">Portfolio Task 2</t>
  </si>
  <si>
    <t xml:space="preserve">Portfolio Task 3</t>
  </si>
  <si>
    <t xml:space="preserve">Portfolio Task 4</t>
  </si>
  <si>
    <t xml:space="preserve">30/02/26</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</si>
  <si>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</si>
  <si>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</si>
  <si>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</si>
  <si>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</si>
  <si>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</si>
  <si>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</si>
  <si>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</si>
  <si>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</si>
  <si>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</si>
  <si>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 Lean and Six Sigma - Green Belt </t>
  </si>
  <si>
    <t xml:space="preserve">Week 2</t>
  </si>
  <si>
    <t xml:space="preserve">B3 - How to deliver sustainable improvements using the structure DMAIC (Define, Measure, Analyse, Improve and Control) framework and concentrating on the application of tools and techniques used within each phase. </t>
  </si>
  <si>
    <t xml:space="preserve">Fundamentals of Data Engineering – Book</t>
  </si>
  <si>
    <t xml:space="preserve">K25: The lifecycle of implementing data solutions in a business, from scoping, though prototyping, development, production, and continuous improvement.</t>
  </si>
  <si>
    <t xml:space="preserve">Python for Non-Programmers – LinkedIn Learning</t>
  </si>
  <si>
    <t xml:space="preserve">Week 10</t>
  </si>
  <si>
    <t xml:space="preserve">S29: Implement personal strategies to keep up to date with new technology and ways of working.</t>
  </si>
  <si>
    <t xml:space="preserve">Power BI With Github: CI/CD Pipelines and moving reports through Environments</t>
  </si>
  <si>
    <t xml:space="preserve">Week 13</t>
  </si>
  <si>
    <t xml:space="preserve">K29: Strategies for keeping up to date with new ways of working and technological developments in data science, data engineering and AI.</t>
  </si>
  <si>
    <t xml:space="preserve">Talking about graph databases</t>
  </si>
  <si>
    <t xml:space="preserve">Week 3</t>
  </si>
  <si>
    <t xml:space="preserve">K17: Approaches to data integration and how combining disparate data sources delivers value to an organisation.</t>
  </si>
  <si>
    <t xml:space="preserve">Introduction to SQL</t>
  </si>
  <si>
    <t xml:space="preserve">Week 6</t>
  </si>
  <si>
    <t xml:space="preserve">S4: Automate data pipelines such as batch, real-time, on demand and other processes using either programming languages and data integration platforms with graphical user interfaces.</t>
  </si>
  <si>
    <t xml:space="preserve">Power BI – Beyond the report build</t>
  </si>
  <si>
    <t xml:space="preserve">Week 5</t>
  </si>
  <si>
    <t xml:space="preserve">K8: Deployment approaches for new data pipelines and automated processes.</t>
  </si>
  <si>
    <t xml:space="preserve">Advanced Python</t>
  </si>
  <si>
    <t xml:space="preserve">Advanced Data prep in Power Query</t>
  </si>
  <si>
    <t xml:space="preserve">SQL Pre-Coursework </t>
  </si>
  <si>
    <t xml:space="preserve">Teradata SQL - GDW Introduction</t>
  </si>
  <si>
    <r>
      <rPr>
        <sz val="11"/>
        <color rgb="FF000000"/>
        <rFont val="Calibri"/>
        <family val="2"/>
      </rPr>
      <t xml:space="preserve">Teradata SQL – </t>
    </r>
    <r>
      <rPr>
        <sz val="11"/>
        <color rgb="FF000000"/>
        <rFont val="Calibri"/>
        <family val="2"/>
        <charset val="1"/>
      </rPr>
      <t xml:space="preserve">GDW Module 1</t>
    </r>
  </si>
  <si>
    <r>
      <rPr>
        <sz val="11"/>
        <color rgb="FF000000"/>
        <rFont val="Calibri"/>
        <family val="2"/>
      </rPr>
      <t xml:space="preserve">Teradata SQL – </t>
    </r>
    <r>
      <rPr>
        <sz val="11"/>
        <color rgb="FF000000"/>
        <rFont val="Calibri"/>
        <family val="2"/>
        <charset val="1"/>
      </rPr>
      <t xml:space="preserve">GDW Module 2</t>
    </r>
  </si>
  <si>
    <r>
      <rPr>
        <sz val="11"/>
        <color rgb="FF000000"/>
        <rFont val="Calibri"/>
        <family val="2"/>
      </rPr>
      <t xml:space="preserve">Teradata SQL – </t>
    </r>
    <r>
      <rPr>
        <sz val="11"/>
        <color rgb="FF000000"/>
        <rFont val="Calibri"/>
        <family val="2"/>
        <charset val="1"/>
      </rPr>
      <t xml:space="preserve">GDW Module 3</t>
    </r>
  </si>
  <si>
    <r>
      <rPr>
        <sz val="11"/>
        <color rgb="FF000000"/>
        <rFont val="Calibri"/>
        <family val="2"/>
      </rPr>
      <t xml:space="preserve">Teradata SQL – GD</t>
    </r>
    <r>
      <rPr>
        <sz val="11"/>
        <color rgb="FF000000"/>
        <rFont val="Calibri"/>
        <family val="2"/>
        <charset val="1"/>
      </rPr>
      <t xml:space="preserve">W Module 4</t>
    </r>
  </si>
  <si>
    <t xml:space="preserve">Working Responsibly with AI</t>
  </si>
  <si>
    <t xml:space="preserve">Week 15</t>
  </si>
  <si>
    <t xml:space="preserve">What is Vertex AI?</t>
  </si>
  <si>
    <t xml:space="preserve">What is Dataplex?</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</si>
  <si>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</si>
  <si>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</si>
  <si>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</si>
  <si>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</si>
  <si>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</si>
  <si>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</si>
  <si>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</si>
  <si>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</si>
  <si>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</si>
  <si>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</si>
  <si>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</si>
  <si>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</si>
  <si>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</si>
  <si>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</si>
  <si>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</si>
  <si>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</si>
  <si>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</si>
  <si>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</si>
  <si>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</si>
  <si>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</si>
  <si>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</si>
  <si>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</si>
  <si>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</si>
  <si>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</si>
  <si>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</si>
  <si>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</si>
  <si>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</si>
  <si>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</si>
  <si>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</si>
  <si>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</si>
  <si>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</si>
  <si>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</si>
  <si>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</si>
  <si>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</si>
  <si>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</si>
  <si>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</si>
  <si>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</si>
  <si>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</si>
  <si>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</si>
  <si>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</si>
  <si>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</si>
  <si>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</si>
  <si>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</si>
  <si>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</si>
  <si>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</si>
  <si>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</si>
  <si>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</si>
  <si>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</si>
  <si>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</si>
  <si>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</si>
  <si>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</si>
  <si>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</si>
  <si>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</si>
  <si>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</si>
  <si>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</si>
  <si>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</si>
  <si>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K14: The uses of on-demand Cloud computing platform(s) in a public or private environment such as Amazon AWS, Google Cloud, Hadoop, IBM Cloud, Salesforce and Microsoft Azure.</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</si>
  <si>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</si>
  <si>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</si>
  <si>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</si>
  <si>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</si>
  <si>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</si>
  <si>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</si>
  <si>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</si>
  <si>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</si>
  <si>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</si>
  <si>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</si>
  <si>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</si>
  <si>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</si>
  <si>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</si>
  <si>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</si>
  <si>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</si>
  <si>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</si>
  <si>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</si>
  <si>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</si>
  <si>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</si>
  <si>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</si>
  <si>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</si>
  <si>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</si>
  <si>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</si>
  <si>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</si>
  <si>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</si>
  <si>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</si>
  <si>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</si>
  <si>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K30: The methods and techniques used to communicate messages to meet the needs of the audience.</t>
  </si>
  <si>
    <t xml:space="preserve">Assessments</t>
  </si>
  <si>
    <t xml:space="preserve">Induction </t>
  </si>
  <si>
    <t xml:space="preserve">Programming and Scrippting Essentials</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</si>
  <si>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</si>
  <si>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</si>
  <si>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</si>
  <si>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</si>
  <si>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</si>
  <si>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</si>
  <si>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</si>
  <si>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</si>
  <si>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</si>
  <si>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</si>
  <si>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4</t>
  </si>
  <si>
    <t xml:space="preserve">Week 7</t>
  </si>
  <si>
    <t xml:space="preserve">Week 8</t>
  </si>
  <si>
    <t xml:space="preserve">Induction</t>
  </si>
  <si>
    <t xml:space="preserve">Week 9</t>
  </si>
  <si>
    <t xml:space="preserve">% programme</t>
  </si>
  <si>
    <t xml:space="preserve">OLL &amp; coach</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</si>
  <si>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</si>
  <si>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</si>
  <si>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</si>
  <si>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</si>
  <si>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</si>
  <si>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</si>
  <si>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</si>
  <si>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</si>
  <si>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14</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</si>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</sst>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7">
    <numFmt numFmtId="164" formatCode="General"/>
    <numFmt numFmtId="165" formatCode="dd/mm/yyyy"/>
    <numFmt numFmtId="166" formatCode="0.00"/>
    <numFmt numFmtId="167" formatCode="dd/mm/yy"/>
    <numFmt numFmtId="168" formatCode="dd/mm/yy"/>
    <numFmt numFmtId="169" formatCode="0%"/>
    <numFmt numFmtId="170" formatCode="0.0"/>
  </numFmts>
  <fonts count="31">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sz val="11"/>
      <color rgb="FF000000"/>
      <name val="Calibri"/>
      <family val="2"/>
    </font>
    <font>
      <sz val="11"/>
      <color theme="1"/>
      <name val="Calibri"/>
      <family val="2"/>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i val="true"/>
      <sz val="11"/>
      <color theme="1"/>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6">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style="thin">
        <color theme="0"/>
      </right>
      <top style="thin">
        <color theme="0"/>
      </top>
      <bottom style="thin">
        <color theme="0"/>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right style="thin"/>
      <top/>
      <bottom style="thin"/>
      <diagonal/>
    </border>
    <border diagonalUp="false" diagonalDown="false">
      <left style="thin">
        <color theme="0"/>
      </left>
      <right style="thin">
        <color theme="0"/>
      </right>
      <top style="thin">
        <color theme="0"/>
      </top>
      <bottom/>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thin"/>
      <right/>
      <top/>
      <botto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0" fillId="0" borderId="8" xfId="0" applyFont="true" applyBorder="true" applyAlignment="true" applyProtection="true">
      <alignment horizontal="general"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general" vertical="bottom" textRotation="0" wrapText="false" indent="0" shrinkToFit="false"/>
      <protection locked="true" hidden="false"/>
    </xf>
    <xf numFmtId="168" fontId="0" fillId="0" borderId="7" xfId="0" applyFont="false" applyBorder="true" applyAlignment="true" applyProtection="true">
      <alignment horizontal="general" vertical="bottom" textRotation="0" wrapText="fals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8"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right" vertical="bottom" textRotation="0" wrapText="fals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2"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3"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5" fontId="14" fillId="0" borderId="8" xfId="0" applyFont="true" applyBorder="true" applyAlignment="true" applyProtection="true">
      <alignment horizontal="general" vertical="bottom" textRotation="0" wrapText="false" indent="0" shrinkToFit="false"/>
      <protection locked="true" hidden="false"/>
    </xf>
    <xf numFmtId="164" fontId="14" fillId="0" borderId="8" xfId="0" applyFont="true" applyBorder="true" applyAlignment="true" applyProtection="true">
      <alignment horizontal="general" vertical="bottom" textRotation="0" wrapText="true" indent="0" shrinkToFit="false"/>
      <protection locked="true" hidden="false"/>
    </xf>
    <xf numFmtId="164" fontId="10" fillId="0" borderId="8" xfId="0" applyFont="true" applyBorder="true" applyAlignment="true" applyProtection="true">
      <alignment horizontal="general" vertical="bottom" textRotation="0" wrapText="false" indent="0" shrinkToFit="false"/>
      <protection locked="true" hidden="false"/>
    </xf>
    <xf numFmtId="165" fontId="14" fillId="0" borderId="15" xfId="0" applyFont="tru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4" fontId="10" fillId="0" borderId="7" xfId="0" applyFont="true" applyBorder="true" applyAlignment="true" applyProtection="true">
      <alignment horizontal="left" vertical="bottom"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4" fontId="15" fillId="0" borderId="7" xfId="0" applyFont="true" applyBorder="true" applyAlignment="true" applyProtection="true">
      <alignment horizontal="left" vertical="center" textRotation="0" wrapText="tru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8" xfId="0" applyFont="true" applyBorder="true" applyAlignment="true" applyProtection="true">
      <alignment horizontal="general" vertical="bottom" textRotation="0" wrapText="fals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16" fillId="0" borderId="7" xfId="0" applyFont="true" applyBorder="true" applyAlignment="true" applyProtection="true">
      <alignment horizontal="center" vertical="bottom" textRotation="0" wrapText="false" indent="0" shrinkToFit="false"/>
      <protection locked="true" hidden="false"/>
    </xf>
    <xf numFmtId="164" fontId="0" fillId="0" borderId="7" xfId="0" applyFont="false" applyBorder="true" applyAlignment="true" applyProtection="true">
      <alignment horizontal="center" vertical="bottom" textRotation="0" wrapText="false" indent="0" shrinkToFit="false"/>
      <protection locked="true" hidden="false"/>
    </xf>
    <xf numFmtId="164" fontId="8" fillId="0" borderId="10"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19" xfId="0" applyFont="true" applyBorder="true" applyAlignment="true" applyProtection="true">
      <alignment horizontal="general" vertical="bottom" textRotation="0" wrapText="false" indent="0" shrinkToFit="false"/>
      <protection locked="true" hidden="false"/>
    </xf>
    <xf numFmtId="164" fontId="8" fillId="0" borderId="20" xfId="0" applyFont="true" applyBorder="true" applyAlignment="true" applyProtection="true">
      <alignment horizontal="general" vertical="bottom" textRotation="0" wrapText="fals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17" fillId="0" borderId="21" xfId="0" applyFont="true" applyBorder="true" applyAlignment="true" applyProtection="true">
      <alignment horizontal="general" vertical="bottom" textRotation="0" wrapText="false" indent="0" shrinkToFit="false"/>
      <protection locked="true" hidden="false"/>
    </xf>
    <xf numFmtId="164" fontId="0" fillId="2" borderId="22" xfId="0" applyFont="false" applyBorder="true" applyAlignment="true" applyProtection="true">
      <alignment horizontal="general" vertical="center" textRotation="0" wrapText="true" indent="0" shrinkToFit="false"/>
      <protection locked="true" hidden="false"/>
    </xf>
    <xf numFmtId="164" fontId="18" fillId="2" borderId="0" xfId="0" applyFont="true" applyBorder="false" applyAlignment="true" applyProtection="true">
      <alignment horizontal="general" vertical="bottom" textRotation="0" wrapText="false" indent="0" shrinkToFit="false"/>
      <protection locked="true" hidden="false"/>
    </xf>
    <xf numFmtId="164" fontId="19" fillId="2" borderId="7" xfId="0" applyFont="true" applyBorder="true" applyAlignment="true" applyProtection="true">
      <alignment horizontal="general" vertical="bottom" textRotation="0" wrapText="false" indent="0" shrinkToFit="false"/>
      <protection locked="true" hidden="false"/>
    </xf>
    <xf numFmtId="164" fontId="19" fillId="2" borderId="8"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19" fillId="0" borderId="23" xfId="0" applyFont="true" applyBorder="true" applyAlignment="true" applyProtection="true">
      <alignment horizontal="center" vertical="center" textRotation="0" wrapText="true" indent="0" shrinkToFit="false"/>
      <protection locked="true" hidden="false"/>
    </xf>
    <xf numFmtId="164" fontId="19" fillId="0" borderId="24" xfId="0" applyFont="true" applyBorder="true" applyAlignment="true" applyProtection="true">
      <alignment horizontal="center" vertical="center" textRotation="0" wrapText="true" indent="0" shrinkToFit="false"/>
      <protection locked="true" hidden="false"/>
    </xf>
    <xf numFmtId="164" fontId="19" fillId="0" borderId="25" xfId="0" applyFont="true" applyBorder="true" applyAlignment="true" applyProtection="true">
      <alignment horizontal="center" vertical="center" textRotation="0" wrapText="true" indent="0" shrinkToFit="false"/>
      <protection locked="true" hidden="false"/>
    </xf>
    <xf numFmtId="164" fontId="19" fillId="0" borderId="26" xfId="0" applyFont="true" applyBorder="true" applyAlignment="true" applyProtection="true">
      <alignment horizontal="center" vertical="center" textRotation="90" wrapText="false" indent="0" shrinkToFit="false"/>
      <protection locked="true" hidden="false"/>
    </xf>
    <xf numFmtId="164" fontId="19" fillId="0" borderId="27" xfId="0" applyFont="true" applyBorder="true" applyAlignment="true" applyProtection="true">
      <alignment horizontal="center" vertical="center" textRotation="90" wrapText="true" indent="0" shrinkToFit="false"/>
      <protection locked="true" hidden="false"/>
    </xf>
    <xf numFmtId="164" fontId="19" fillId="0" borderId="28" xfId="0" applyFont="true" applyBorder="true" applyAlignment="true" applyProtection="true">
      <alignment horizontal="general" vertical="bottom" textRotation="0" wrapText="false" indent="0" shrinkToFit="false"/>
      <protection locked="true" hidden="false"/>
    </xf>
    <xf numFmtId="164" fontId="10" fillId="0" borderId="28"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31"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9" fontId="10" fillId="0" borderId="7" xfId="0" applyFont="true" applyBorder="true" applyAlignment="true" applyProtection="true">
      <alignment horizontal="general" vertical="bottom" textRotation="0" wrapText="false" indent="0" shrinkToFit="false"/>
      <protection locked="true" hidden="false"/>
    </xf>
    <xf numFmtId="164" fontId="21" fillId="0" borderId="7"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9" fontId="19" fillId="0" borderId="7" xfId="0" applyFont="true" applyBorder="true" applyAlignment="true" applyProtection="true">
      <alignment horizontal="general" vertical="bottom" textRotation="0" wrapText="false" indent="0" shrinkToFit="false"/>
      <protection locked="true" hidden="false"/>
    </xf>
    <xf numFmtId="164" fontId="19" fillId="0" borderId="7" xfId="0" applyFont="true" applyBorder="true" applyAlignment="true" applyProtection="true">
      <alignment horizontal="general" vertical="bottom" textRotation="0" wrapText="false" indent="0" shrinkToFit="false"/>
      <protection locked="true" hidden="false"/>
    </xf>
    <xf numFmtId="169" fontId="19" fillId="0" borderId="15" xfId="0" applyFont="true" applyBorder="true" applyAlignment="true" applyProtection="true">
      <alignment horizontal="general" vertical="bottom" textRotation="0" wrapText="false" indent="0" shrinkToFit="false"/>
      <protection locked="true" hidden="false"/>
    </xf>
    <xf numFmtId="164" fontId="10" fillId="0" borderId="10" xfId="0" applyFont="true" applyBorder="true" applyAlignment="true" applyProtection="true">
      <alignment horizontal="right" vertical="bottom" textRotation="0" wrapText="false" indent="0" shrinkToFit="false"/>
      <protection locked="true" hidden="false"/>
    </xf>
    <xf numFmtId="169" fontId="0" fillId="0" borderId="7" xfId="19" applyFont="true" applyBorder="true" applyAlignment="true" applyProtection="true">
      <alignment horizontal="general" vertical="bottom" textRotation="0" wrapText="false" indent="0" shrinkToFit="false"/>
      <protection locked="true" hidden="false"/>
    </xf>
    <xf numFmtId="169" fontId="0" fillId="0" borderId="33" xfId="19" applyFont="true" applyBorder="true" applyAlignment="true" applyProtection="true">
      <alignment horizontal="general" vertical="bottom" textRotation="0" wrapText="false" indent="0" shrinkToFit="false"/>
      <protection locked="true" hidden="false"/>
    </xf>
    <xf numFmtId="169" fontId="8" fillId="0" borderId="7" xfId="19" applyFont="true" applyBorder="true" applyAlignment="true" applyProtection="true">
      <alignment horizontal="general" vertical="bottom" textRotation="0" wrapText="false" indent="0" shrinkToFit="false"/>
      <protection locked="true" hidden="false"/>
    </xf>
    <xf numFmtId="164" fontId="0" fillId="0" borderId="32" xfId="0" applyFont="false" applyBorder="true" applyAlignment="true" applyProtection="true">
      <alignment horizontal="general" vertical="bottom" textRotation="0" wrapText="false" indent="0" shrinkToFit="false"/>
      <protection locked="true" hidden="false"/>
    </xf>
    <xf numFmtId="164" fontId="19" fillId="0" borderId="34" xfId="0" applyFont="true" applyBorder="true" applyAlignment="true" applyProtection="true">
      <alignment horizontal="center" vertical="center" textRotation="90" wrapText="true" indent="0" shrinkToFit="false"/>
      <protection locked="true" hidden="false"/>
    </xf>
    <xf numFmtId="164" fontId="19" fillId="0" borderId="35"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9" fillId="0" borderId="29"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9" fillId="0" borderId="26" xfId="0" applyFont="true" applyBorder="true" applyAlignment="true" applyProtection="true">
      <alignment horizontal="general" vertical="bottom" textRotation="0" wrapText="false" indent="0" shrinkToFit="false"/>
      <protection locked="true" hidden="false"/>
    </xf>
    <xf numFmtId="164" fontId="19" fillId="0" borderId="37" xfId="0" applyFont="true" applyBorder="true" applyAlignment="true" applyProtection="true">
      <alignment horizontal="general" vertical="bottom" textRotation="0" wrapText="false" indent="0" shrinkToFit="false"/>
      <protection locked="true" hidden="false"/>
    </xf>
    <xf numFmtId="164" fontId="19" fillId="0" borderId="30" xfId="0" applyFont="true" applyBorder="true" applyAlignment="true" applyProtection="true">
      <alignment horizontal="general" vertical="bottom" textRotation="0" wrapText="false" indent="0" shrinkToFit="false"/>
      <protection locked="true" hidden="false"/>
    </xf>
    <xf numFmtId="164" fontId="19" fillId="0" borderId="38" xfId="0" applyFont="true" applyBorder="true" applyAlignment="true" applyProtection="true">
      <alignment horizontal="center" vertical="bottom" textRotation="0" wrapText="false" indent="0" shrinkToFit="false"/>
      <protection locked="true" hidden="false"/>
    </xf>
    <xf numFmtId="164" fontId="19" fillId="0" borderId="39" xfId="0" applyFont="true" applyBorder="true" applyAlignment="true" applyProtection="true">
      <alignment horizontal="general" vertical="bottom" textRotation="0" wrapText="false" indent="0" shrinkToFit="false"/>
      <protection locked="true" hidden="false"/>
    </xf>
    <xf numFmtId="164" fontId="19" fillId="0" borderId="40" xfId="0" applyFont="true" applyBorder="true" applyAlignment="true" applyProtection="true">
      <alignment horizontal="center" vertical="bottom" textRotation="0" wrapText="false" indent="0" shrinkToFit="false"/>
      <protection locked="true" hidden="false"/>
    </xf>
    <xf numFmtId="164" fontId="19" fillId="0" borderId="41"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22" fillId="5" borderId="0" xfId="0" applyFont="true" applyBorder="false" applyAlignment="true" applyProtection="true">
      <alignment horizontal="general" vertical="bottom" textRotation="0" wrapText="false" indent="0" shrinkToFit="false"/>
      <protection locked="true" hidden="false"/>
    </xf>
    <xf numFmtId="166" fontId="22"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70" fontId="9" fillId="0" borderId="1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70" fontId="0" fillId="5" borderId="0" xfId="0" applyFont="false" applyBorder="false" applyAlignment="true" applyProtection="true">
      <alignment horizontal="general" vertical="bottom" textRotation="0" wrapText="false" indent="0" shrinkToFit="false"/>
      <protection locked="true" hidden="false"/>
    </xf>
    <xf numFmtId="170" fontId="8" fillId="0" borderId="39"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2" borderId="0" xfId="0" applyFont="true" applyBorder="false" applyAlignment="true" applyProtection="true">
      <alignment horizontal="left" vertical="center" textRotation="0" wrapText="false" indent="0" shrinkToFit="false"/>
      <protection locked="true" hidden="false"/>
    </xf>
    <xf numFmtId="164" fontId="26" fillId="2" borderId="0" xfId="0" applyFont="true" applyBorder="false" applyAlignment="true" applyProtection="true">
      <alignment horizontal="left" vertical="center"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8" fillId="0" borderId="1" xfId="0" applyFont="true" applyBorder="true" applyAlignment="true" applyProtection="true">
      <alignment horizontal="general" vertical="bottom" textRotation="0" wrapText="false" indent="0" shrinkToFit="false"/>
      <protection locked="true" hidden="false"/>
    </xf>
    <xf numFmtId="164" fontId="29" fillId="0" borderId="1" xfId="0" applyFont="true" applyBorder="true" applyAlignment="true" applyProtection="true">
      <alignment horizontal="general" vertical="bottom" textRotation="0" wrapText="false" indent="0" shrinkToFit="false"/>
      <protection locked="true" hidden="false"/>
    </xf>
    <xf numFmtId="164" fontId="29" fillId="0" borderId="3" xfId="0" applyFont="true" applyBorder="true" applyAlignment="true" applyProtection="true">
      <alignment horizontal="left" vertical="center" textRotation="0" wrapText="true" indent="0" shrinkToFit="false"/>
      <protection locked="true" hidden="false"/>
    </xf>
    <xf numFmtId="164" fontId="29" fillId="0" borderId="5" xfId="0" applyFont="true" applyBorder="true" applyAlignment="true" applyProtection="true">
      <alignment horizontal="general" vertical="bottom" textRotation="0" wrapText="false" indent="0" shrinkToFit="false"/>
      <protection locked="true" hidden="false"/>
    </xf>
    <xf numFmtId="164" fontId="28" fillId="0" borderId="3" xfId="0" applyFont="true" applyBorder="true" applyAlignment="true" applyProtection="true">
      <alignment horizontal="general" vertical="bottom" textRotation="0" wrapText="false" indent="0" shrinkToFit="false"/>
      <protection locked="true" hidden="false"/>
    </xf>
    <xf numFmtId="164" fontId="28" fillId="0" borderId="42" xfId="0" applyFont="true" applyBorder="true" applyAlignment="true" applyProtection="true">
      <alignment horizontal="general" vertical="bottom" textRotation="0" wrapText="false" indent="0" shrinkToFit="false"/>
      <protection locked="true" hidden="false"/>
    </xf>
    <xf numFmtId="164" fontId="28" fillId="0" borderId="9" xfId="0" applyFont="true" applyBorder="true" applyAlignment="true" applyProtection="true">
      <alignment horizontal="general" vertical="bottom" textRotation="0" wrapText="false" indent="0" shrinkToFit="false"/>
      <protection locked="true" hidden="false"/>
    </xf>
    <xf numFmtId="164" fontId="8" fillId="0" borderId="43" xfId="0" applyFont="true" applyBorder="true" applyAlignment="true" applyProtection="true">
      <alignment horizontal="center" vertical="center" textRotation="0" wrapText="tru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5"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1</xdr:row>
      <xdr:rowOff>0</xdr:rowOff>
    </xdr:from>
    <xdr:to>
      <xdr:col>17</xdr:col>
      <xdr:colOff>293400</xdr:colOff>
      <xdr:row>5</xdr:row>
      <xdr:rowOff>156600</xdr:rowOff>
    </xdr:to>
    <xdr:pic>
      <xdr:nvPicPr>
        <xdr:cNvPr id="1" name="Picture 1"/>
        <xdr:cNvPicPr/>
      </xdr:nvPicPr>
      <xdr:blipFill>
        <a:blip r:embed="rId1"/>
        <a:stretch/>
      </xdr:blipFill>
      <xdr:spPr>
        <a:xfrm>
          <a:off x="12156480" y="181080"/>
          <a:ext cx="1268640" cy="1234080"/>
        </a:xfrm>
        <a:prstGeom prst="rect">
          <a:avLst/>
        </a:prstGeom>
        <a:noFill/>
        <a:ln w="0">
          <a:noFill/>
        </a:ln>
      </xdr:spPr>
    </xdr:pic>
    <xdr:clientData/>
  </xdr:twoCellAnchor>
  <xdr:twoCellAnchor editAs="oneCell">
    <xdr:from>
      <xdr:col>1</xdr:col>
      <xdr:colOff>419040</xdr:colOff>
      <xdr:row>24</xdr:row>
      <xdr:rowOff>46440</xdr:rowOff>
    </xdr:from>
    <xdr:to>
      <xdr:col>17</xdr:col>
      <xdr:colOff>54000</xdr:colOff>
      <xdr:row>32</xdr:row>
      <xdr:rowOff>130320</xdr:rowOff>
    </xdr:to>
    <xdr:pic>
      <xdr:nvPicPr>
        <xdr:cNvPr id="2" name="Picture 2"/>
        <xdr:cNvPicPr/>
      </xdr:nvPicPr>
      <xdr:blipFill>
        <a:blip r:embed="rId2"/>
        <a:stretch/>
      </xdr:blipFill>
      <xdr:spPr>
        <a:xfrm>
          <a:off x="1030680" y="4743360"/>
          <a:ext cx="12155040" cy="15318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34" colorId="64" zoomScale="115" zoomScaleNormal="115" zoomScalePageLayoutView="100" workbookViewId="0">
      <selection pane="topLeft" activeCell="B37" activeCellId="0" sqref="B37"/>
    </sheetView>
  </sheetViews>
  <sheetFormatPr defaultColWidth="8.6796875" defaultRowHeight="14.25" customHeight="true" zeroHeight="false" outlineLevelRow="0" outlineLevelCol="0"/>
  <cols>
    <col collapsed="false" customWidth="true" hidden="false" outlineLevel="0" max="1" min="1" style="1" width="11.82"/>
    <col collapsed="false" customWidth="true" hidden="false" outlineLevel="0" max="2" min="2" style="1" width="54.82"/>
    <col collapsed="false" customWidth="true" hidden="false" outlineLevel="0" max="3" min="3" style="1" width="37.18"/>
    <col collapsed="false" customWidth="true" hidden="false" outlineLevel="0" max="4" min="4" style="1" width="15"/>
    <col collapsed="false" customWidth="true" hidden="false" outlineLevel="0" max="5" min="5" style="1" width="10"/>
    <col collapsed="false" customWidth="true" hidden="false" outlineLevel="0" max="6" min="6" style="1" width="124.24"/>
    <col collapsed="false" customWidth="true" hidden="false" outlineLevel="0" max="7" min="7" style="1" width="11.18"/>
    <col collapsed="false" customWidth="true" hidden="false" outlineLevel="0" max="8" min="8" style="1" width="22"/>
    <col collapsed="false" customWidth="true" hidden="false" outlineLevel="0" max="14" min="14" style="1" width="4.27"/>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4</v>
      </c>
      <c r="D6" s="20" t="n">
        <v>45677</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4.25" hidden="false" customHeight="false" outlineLevel="0" collapsed="false">
      <c r="A7" s="14"/>
      <c r="B7" s="18" t="s">
        <v>10</v>
      </c>
      <c r="C7" s="19" t="s">
        <v>4</v>
      </c>
      <c r="D7" s="20" t="n">
        <v>45719</v>
      </c>
      <c r="E7" s="25" t="n">
        <v>12</v>
      </c>
      <c r="F7" s="26" t="n">
        <v>12</v>
      </c>
      <c r="G7" s="22" t="n">
        <f aca="false">IF(NOT(ISBLANK(D7)), SUM(E7:F7), 0)</f>
        <v>24</v>
      </c>
      <c r="H7" s="16"/>
      <c r="I7" s="27"/>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4.25" hidden="false" customHeight="false" outlineLevel="0" collapsed="false">
      <c r="A8" s="14"/>
      <c r="B8" s="18" t="s">
        <v>11</v>
      </c>
      <c r="C8" s="19" t="s">
        <v>4</v>
      </c>
      <c r="D8" s="20" t="n">
        <v>45756</v>
      </c>
      <c r="E8" s="25" t="n">
        <v>15</v>
      </c>
      <c r="F8" s="26" t="n">
        <v>17</v>
      </c>
      <c r="G8" s="22" t="n">
        <f aca="false">IF(NOT(ISBLANK(D8)), SUM(E8:F8), 0)</f>
        <v>32</v>
      </c>
      <c r="H8" s="16"/>
      <c r="I8" s="27"/>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4.25" hidden="false" customHeight="false" outlineLevel="0" collapsed="false">
      <c r="A9" s="14"/>
      <c r="B9" s="18" t="s">
        <v>12</v>
      </c>
      <c r="C9" s="19" t="s">
        <v>4</v>
      </c>
      <c r="D9" s="28" t="n">
        <v>45812</v>
      </c>
      <c r="E9" s="25" t="n">
        <v>27</v>
      </c>
      <c r="F9" s="26" t="n">
        <v>27</v>
      </c>
      <c r="G9" s="22" t="n">
        <f aca="false">IF(NOT(ISBLANK(D9)), SUM(E9:F9), 0)</f>
        <v>54</v>
      </c>
      <c r="H9" s="16"/>
      <c r="I9" s="27"/>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4.25" hidden="false" customHeight="false" outlineLevel="0" collapsed="false">
      <c r="A10" s="14"/>
      <c r="B10" s="18" t="s">
        <v>13</v>
      </c>
      <c r="C10" s="19" t="s">
        <v>4</v>
      </c>
      <c r="D10" s="28" t="n">
        <v>45840</v>
      </c>
      <c r="E10" s="25" t="n">
        <v>12</v>
      </c>
      <c r="F10" s="26" t="n">
        <v>12</v>
      </c>
      <c r="G10" s="22" t="n">
        <f aca="false">IF(NOT(ISBLANK(D10)), SUM(E10:F10), 0)</f>
        <v>24</v>
      </c>
      <c r="H10" s="16"/>
      <c r="I10" s="27"/>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4.25" hidden="false" customHeight="false" outlineLevel="0" collapsed="false">
      <c r="A11" s="14"/>
      <c r="B11" s="18" t="s">
        <v>14</v>
      </c>
      <c r="C11" s="19" t="s">
        <v>4</v>
      </c>
      <c r="D11" s="28" t="n">
        <v>45882</v>
      </c>
      <c r="E11" s="25" t="n">
        <v>24</v>
      </c>
      <c r="F11" s="26" t="n">
        <v>22</v>
      </c>
      <c r="G11" s="22" t="n">
        <f aca="false">IF(NOT(ISBLANK(D11)), SUM(E11:F11), 0)</f>
        <v>46</v>
      </c>
      <c r="H11" s="16"/>
      <c r="I11" s="27"/>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4.25" hidden="false" customHeight="false" outlineLevel="0" collapsed="false">
      <c r="A12" s="14"/>
      <c r="B12" s="18" t="s">
        <v>15</v>
      </c>
      <c r="C12" s="19" t="s">
        <v>4</v>
      </c>
      <c r="D12" s="28" t="n">
        <v>45896</v>
      </c>
      <c r="E12" s="25" t="n">
        <v>9</v>
      </c>
      <c r="F12" s="26" t="n">
        <v>12</v>
      </c>
      <c r="G12" s="22" t="n">
        <f aca="false">IF(NOT(ISBLANK(D12)), SUM(E12:F12), 0)</f>
        <v>21</v>
      </c>
      <c r="H12" s="16"/>
      <c r="I12" s="27"/>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4.25" hidden="false" customHeight="false" outlineLevel="0" collapsed="false">
      <c r="A13" s="14"/>
      <c r="B13" s="18" t="s">
        <v>16</v>
      </c>
      <c r="C13" s="19" t="s">
        <v>4</v>
      </c>
      <c r="D13" s="28" t="n">
        <v>45939</v>
      </c>
      <c r="E13" s="25" t="n">
        <v>12</v>
      </c>
      <c r="F13" s="26" t="n">
        <v>12</v>
      </c>
      <c r="G13" s="22" t="n">
        <f aca="false">IF(NOT(ISBLANK(D13)), SUM(E13:F13), 0)</f>
        <v>24</v>
      </c>
      <c r="H13" s="16"/>
      <c r="I13" s="27"/>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4.25" hidden="false" customHeight="false" outlineLevel="0" collapsed="false">
      <c r="A14" s="14"/>
      <c r="B14" s="18" t="s">
        <v>17</v>
      </c>
      <c r="C14" s="19" t="s">
        <v>4</v>
      </c>
      <c r="D14" s="28" t="n">
        <v>45980</v>
      </c>
      <c r="E14" s="25" t="n">
        <v>21</v>
      </c>
      <c r="F14" s="26" t="n">
        <v>22</v>
      </c>
      <c r="G14" s="22" t="n">
        <f aca="false">IF(NOT(ISBLANK(D14)), SUM(E14:F14), 0)</f>
        <v>43</v>
      </c>
      <c r="H14" s="16"/>
      <c r="I14" s="27"/>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4.25" hidden="false" customHeight="false" outlineLevel="0" collapsed="false">
      <c r="A15" s="14"/>
      <c r="B15" s="18" t="s">
        <v>18</v>
      </c>
      <c r="C15" s="19" t="s">
        <v>4</v>
      </c>
      <c r="D15" s="29" t="n">
        <v>46036</v>
      </c>
      <c r="E15" s="25" t="n">
        <v>18</v>
      </c>
      <c r="F15" s="26" t="n">
        <v>12</v>
      </c>
      <c r="G15" s="22" t="n">
        <f aca="false">IF(NOT(ISBLANK(D15)), SUM(E15:F15), 0)</f>
        <v>30</v>
      </c>
      <c r="H15" s="16"/>
      <c r="I15" s="27"/>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4.25" hidden="false" customHeight="false" outlineLevel="0" collapsed="false">
      <c r="A16" s="14"/>
      <c r="B16" s="18" t="s">
        <v>19</v>
      </c>
      <c r="C16" s="19" t="s">
        <v>4</v>
      </c>
      <c r="D16" s="29" t="n">
        <v>46071</v>
      </c>
      <c r="E16" s="25" t="n">
        <v>15</v>
      </c>
      <c r="F16" s="26" t="n">
        <v>12</v>
      </c>
      <c r="G16" s="22" t="n">
        <f aca="false">IF(NOT(ISBLANK(D16)), SUM(E16:F16), 0)</f>
        <v>27</v>
      </c>
      <c r="H16" s="16"/>
      <c r="I16" s="27"/>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4.25" hidden="false" customHeight="false" outlineLevel="0" collapsed="false">
      <c r="A17" s="14"/>
      <c r="B17" s="18" t="s">
        <v>20</v>
      </c>
      <c r="C17" s="25"/>
      <c r="D17" s="25"/>
      <c r="E17" s="25" t="n">
        <v>15</v>
      </c>
      <c r="F17" s="26" t="n">
        <v>12</v>
      </c>
      <c r="G17" s="22" t="n">
        <f aca="false">IF(NOT(ISBLANK(D17)), SUM(E17:F17), 0)</f>
        <v>0</v>
      </c>
      <c r="H17" s="16"/>
      <c r="I17" s="27"/>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4.25" hidden="false" customHeight="false" outlineLevel="0" collapsed="false">
      <c r="A18" s="14"/>
      <c r="B18" s="18" t="s">
        <v>21</v>
      </c>
      <c r="C18" s="25"/>
      <c r="D18" s="25"/>
      <c r="E18" s="25" t="n">
        <v>11</v>
      </c>
      <c r="F18" s="30" t="n">
        <v>0</v>
      </c>
      <c r="G18" s="22" t="n">
        <f aca="false">IF(NOT(ISBLANK(D18)), SUM(E18:F18), 0)</f>
        <v>0</v>
      </c>
      <c r="H18" s="16"/>
      <c r="I18" s="27"/>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1" t="s">
        <v>22</v>
      </c>
      <c r="C19" s="32"/>
      <c r="D19" s="32"/>
      <c r="E19" s="33" t="n">
        <f aca="false">SUM(E6:E18)</f>
        <v>195</v>
      </c>
      <c r="F19" s="34" t="n">
        <f aca="false">SUM(F7:F18)</f>
        <v>172</v>
      </c>
      <c r="G19" s="35" t="n">
        <f aca="false">SUM(G6:G18)</f>
        <v>329</v>
      </c>
      <c r="H19" s="16"/>
      <c r="I19" s="27"/>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6"/>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23</v>
      </c>
      <c r="C21" s="15" t="s">
        <v>24</v>
      </c>
      <c r="D21" s="15" t="s">
        <v>25</v>
      </c>
      <c r="E21" s="15" t="s">
        <v>26</v>
      </c>
      <c r="F21" s="15" t="s">
        <v>27</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5" t="s">
        <v>28</v>
      </c>
      <c r="C22" s="25" t="s">
        <v>29</v>
      </c>
      <c r="D22" s="28" t="n">
        <v>45797</v>
      </c>
      <c r="E22" s="25" t="n">
        <v>24</v>
      </c>
      <c r="F22" s="25"/>
      <c r="G22" s="25" t="n">
        <f aca="false">IF(NOT(ISBLANK(D22)), SUM(E22:F22), 0)</f>
        <v>24</v>
      </c>
      <c r="H22" s="37"/>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5" t="s">
        <v>30</v>
      </c>
      <c r="C23" s="25" t="s">
        <v>29</v>
      </c>
      <c r="D23" s="28" t="n">
        <v>45882</v>
      </c>
      <c r="E23" s="25" t="n">
        <v>24</v>
      </c>
      <c r="F23" s="25"/>
      <c r="G23" s="25" t="n">
        <f aca="false">IF(NOT(ISBLANK(D23)), SUM(E23:F23), 0)</f>
        <v>24</v>
      </c>
      <c r="H23" s="37"/>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5" t="s">
        <v>31</v>
      </c>
      <c r="C24" s="25" t="s">
        <v>29</v>
      </c>
      <c r="D24" s="28" t="n">
        <v>45966</v>
      </c>
      <c r="E24" s="25" t="n">
        <v>24</v>
      </c>
      <c r="F24" s="25"/>
      <c r="G24" s="25" t="n">
        <f aca="false">IF(NOT(ISBLANK(D24)), SUM(E24:F24), 0)</f>
        <v>24</v>
      </c>
      <c r="H24" s="37"/>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5" t="s">
        <v>32</v>
      </c>
      <c r="C25" s="25" t="s">
        <v>29</v>
      </c>
      <c r="D25" s="38" t="s">
        <v>33</v>
      </c>
      <c r="E25" s="25" t="n">
        <v>24</v>
      </c>
      <c r="F25" s="25"/>
      <c r="G25" s="25" t="n">
        <f aca="false">IF(NOT(ISBLANK(D25)), SUM(E25:F25), 0)</f>
        <v>24</v>
      </c>
      <c r="H25" s="37"/>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5" t="s">
        <v>34</v>
      </c>
      <c r="C26" s="25"/>
      <c r="D26" s="25"/>
      <c r="E26" s="25" t="n">
        <v>24</v>
      </c>
      <c r="F26" s="25"/>
      <c r="G26" s="25" t="n">
        <f aca="false">IF(NOT(ISBLANK(D26)), SUM(E26:F26), 0)</f>
        <v>0</v>
      </c>
      <c r="H26" s="37"/>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5"/>
      <c r="C27" s="25"/>
      <c r="D27" s="25"/>
      <c r="E27" s="25"/>
      <c r="F27" s="25"/>
      <c r="G27" s="25"/>
      <c r="H27" s="37"/>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5"/>
      <c r="D28" s="25"/>
      <c r="E28" s="40" t="n">
        <f aca="false">SUM(E22:E27)</f>
        <v>120</v>
      </c>
      <c r="F28" s="40" t="n">
        <f aca="false">SUM(F22:F26)</f>
        <v>0</v>
      </c>
      <c r="G28" s="40" t="n">
        <f aca="false">SUM(G22:H27)</f>
        <v>96</v>
      </c>
      <c r="H28" s="37"/>
      <c r="I28" s="27"/>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35</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36</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37</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7"/>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7"/>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38</v>
      </c>
      <c r="C35" s="15" t="s">
        <v>39</v>
      </c>
      <c r="D35" s="53" t="s">
        <v>40</v>
      </c>
      <c r="E35" s="53" t="s">
        <v>41</v>
      </c>
      <c r="F35" s="53"/>
      <c r="G35" s="53" t="s">
        <v>26</v>
      </c>
      <c r="H35" s="54" t="s">
        <v>42</v>
      </c>
      <c r="I35" s="27"/>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78.5" hidden="false" customHeight="true" outlineLevel="0" collapsed="false">
      <c r="A36" s="55"/>
      <c r="B36" s="18" t="s">
        <v>43</v>
      </c>
      <c r="C36" s="19" t="s">
        <v>44</v>
      </c>
      <c r="D36" s="56" t="n">
        <v>45709</v>
      </c>
      <c r="E36" s="57" t="s">
        <v>45</v>
      </c>
      <c r="F36" s="57"/>
      <c r="G36" s="58" t="n">
        <v>32</v>
      </c>
      <c r="H36" s="54"/>
      <c r="I36" s="27"/>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56.45" hidden="false" customHeight="true" outlineLevel="0" collapsed="false">
      <c r="A37" s="55"/>
      <c r="B37" s="18" t="s">
        <v>46</v>
      </c>
      <c r="C37" s="19" t="s">
        <v>44</v>
      </c>
      <c r="D37" s="59" t="n">
        <v>45826</v>
      </c>
      <c r="E37" s="57" t="s">
        <v>47</v>
      </c>
      <c r="F37" s="57"/>
      <c r="G37" s="58" t="n">
        <v>17</v>
      </c>
      <c r="H37" s="54"/>
      <c r="I37" s="60"/>
      <c r="J37" s="61"/>
      <c r="K37" s="61"/>
      <c r="L37" s="61"/>
      <c r="M37" s="61"/>
      <c r="N37" s="61"/>
      <c r="O37" s="61"/>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62" t="s">
        <v>48</v>
      </c>
      <c r="C38" s="19" t="s">
        <v>49</v>
      </c>
      <c r="D38" s="20" t="n">
        <v>45789</v>
      </c>
      <c r="E38" s="63" t="s">
        <v>50</v>
      </c>
      <c r="F38" s="63"/>
      <c r="G38" s="58" t="n">
        <v>2</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38.25" hidden="false" customHeight="true" outlineLevel="0" collapsed="false">
      <c r="A39" s="14"/>
      <c r="B39" s="18" t="s">
        <v>51</v>
      </c>
      <c r="C39" s="19" t="s">
        <v>52</v>
      </c>
      <c r="D39" s="20" t="n">
        <v>45882</v>
      </c>
      <c r="E39" s="63" t="s">
        <v>53</v>
      </c>
      <c r="F39" s="63"/>
      <c r="G39" s="58" t="n">
        <v>0.5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17.25" hidden="false" customHeight="true" outlineLevel="0" collapsed="false">
      <c r="A40" s="14"/>
      <c r="B40" s="18" t="s">
        <v>54</v>
      </c>
      <c r="C40" s="19" t="s">
        <v>55</v>
      </c>
      <c r="D40" s="20" t="n">
        <v>45881</v>
      </c>
      <c r="E40" s="63" t="s">
        <v>56</v>
      </c>
      <c r="F40" s="63"/>
      <c r="G40" s="58" t="n">
        <v>0.75</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18" t="s">
        <v>57</v>
      </c>
      <c r="C41" s="19" t="s">
        <v>58</v>
      </c>
      <c r="D41" s="20" t="n">
        <v>45883</v>
      </c>
      <c r="E41" s="63" t="s">
        <v>59</v>
      </c>
      <c r="F41" s="63"/>
      <c r="G41" s="58" t="n">
        <v>2</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18" t="s">
        <v>60</v>
      </c>
      <c r="C42" s="19" t="s">
        <v>61</v>
      </c>
      <c r="D42" s="20" t="n">
        <v>45888</v>
      </c>
      <c r="E42" s="63" t="s">
        <v>62</v>
      </c>
      <c r="F42" s="63"/>
      <c r="G42" s="58"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18" t="s">
        <v>63</v>
      </c>
      <c r="C43" s="19" t="s">
        <v>49</v>
      </c>
      <c r="D43" s="20" t="n">
        <v>45891</v>
      </c>
      <c r="E43" s="63" t="s">
        <v>50</v>
      </c>
      <c r="F43" s="63"/>
      <c r="G43" s="58" t="n">
        <v>0.75</v>
      </c>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18" t="s">
        <v>64</v>
      </c>
      <c r="C44" s="19" t="s">
        <v>61</v>
      </c>
      <c r="D44" s="20" t="n">
        <v>45890</v>
      </c>
      <c r="E44" s="63" t="s">
        <v>62</v>
      </c>
      <c r="F44" s="63"/>
      <c r="G44" s="1" t="n">
        <v>2</v>
      </c>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18" t="s">
        <v>65</v>
      </c>
      <c r="C45" s="19" t="s">
        <v>58</v>
      </c>
      <c r="D45" s="20" t="n">
        <v>45915</v>
      </c>
      <c r="E45" s="63" t="s">
        <v>59</v>
      </c>
      <c r="F45" s="63"/>
      <c r="G45" s="58" t="n">
        <v>5</v>
      </c>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18" t="s">
        <v>66</v>
      </c>
      <c r="C46" s="19" t="s">
        <v>58</v>
      </c>
      <c r="D46" s="20" t="n">
        <v>45917</v>
      </c>
      <c r="E46" s="63" t="s">
        <v>59</v>
      </c>
      <c r="F46" s="63"/>
      <c r="G46" s="58" t="n">
        <v>1.5</v>
      </c>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64" t="s">
        <v>67</v>
      </c>
      <c r="C47" s="19" t="s">
        <v>58</v>
      </c>
      <c r="D47" s="20" t="n">
        <v>45921</v>
      </c>
      <c r="E47" s="63" t="s">
        <v>59</v>
      </c>
      <c r="F47" s="63"/>
      <c r="G47" s="58" t="n">
        <v>3</v>
      </c>
      <c r="H47" s="54"/>
      <c r="I47" s="65"/>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64" t="s">
        <v>68</v>
      </c>
      <c r="C48" s="19" t="s">
        <v>58</v>
      </c>
      <c r="D48" s="59" t="n">
        <v>45936</v>
      </c>
      <c r="E48" s="63" t="s">
        <v>59</v>
      </c>
      <c r="F48" s="63"/>
      <c r="G48" s="66" t="n">
        <v>2</v>
      </c>
      <c r="H48" s="54"/>
      <c r="I48" s="65"/>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64" t="s">
        <v>69</v>
      </c>
      <c r="C49" s="19" t="s">
        <v>58</v>
      </c>
      <c r="D49" s="59" t="n">
        <v>45938</v>
      </c>
      <c r="E49" s="63" t="s">
        <v>59</v>
      </c>
      <c r="F49" s="63"/>
      <c r="G49" s="66" t="n">
        <v>3</v>
      </c>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67"/>
      <c r="B50" s="64" t="s">
        <v>70</v>
      </c>
      <c r="C50" s="19" t="s">
        <v>58</v>
      </c>
      <c r="D50" s="59" t="n">
        <v>45939</v>
      </c>
      <c r="E50" s="63" t="s">
        <v>59</v>
      </c>
      <c r="F50" s="63"/>
      <c r="G50" s="66" t="n">
        <v>3</v>
      </c>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18" t="s">
        <v>71</v>
      </c>
      <c r="C51" s="19" t="s">
        <v>72</v>
      </c>
      <c r="D51" s="29" t="n">
        <v>46059</v>
      </c>
      <c r="E51" s="68" t="s">
        <v>50</v>
      </c>
      <c r="F51" s="68"/>
      <c r="G51" s="66" t="n">
        <v>0.5</v>
      </c>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18" t="s">
        <v>73</v>
      </c>
      <c r="C52" s="19" t="s">
        <v>72</v>
      </c>
      <c r="D52" s="29" t="n">
        <v>46035</v>
      </c>
      <c r="E52" s="68" t="s">
        <v>50</v>
      </c>
      <c r="F52" s="68"/>
      <c r="G52" s="66" t="n">
        <v>0.5</v>
      </c>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18" t="s">
        <v>74</v>
      </c>
      <c r="C53" s="19" t="s">
        <v>72</v>
      </c>
      <c r="D53" s="29" t="n">
        <v>46001</v>
      </c>
      <c r="E53" s="68" t="s">
        <v>50</v>
      </c>
      <c r="F53" s="68"/>
      <c r="G53" s="66" t="n">
        <v>0.5</v>
      </c>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18"/>
      <c r="C54" s="19"/>
      <c r="D54" s="25"/>
      <c r="E54" s="69"/>
      <c r="F54" s="69"/>
      <c r="G54" s="66"/>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5"/>
      <c r="C55" s="19"/>
      <c r="D55" s="25"/>
      <c r="E55" s="69"/>
      <c r="F55" s="69"/>
      <c r="G55" s="66"/>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5"/>
      <c r="C56" s="19"/>
      <c r="D56" s="25"/>
      <c r="E56" s="69"/>
      <c r="F56" s="69"/>
      <c r="G56" s="66"/>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5"/>
      <c r="C57" s="19"/>
      <c r="D57" s="25"/>
      <c r="E57" s="69"/>
      <c r="F57" s="69"/>
      <c r="G57" s="66"/>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5"/>
      <c r="C58" s="19"/>
      <c r="D58" s="25"/>
      <c r="E58" s="69"/>
      <c r="F58" s="69"/>
      <c r="G58" s="66"/>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5"/>
      <c r="C59" s="19"/>
      <c r="D59" s="25"/>
      <c r="E59" s="69"/>
      <c r="F59" s="69"/>
      <c r="G59" s="66"/>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5"/>
      <c r="C60" s="19"/>
      <c r="D60" s="25"/>
      <c r="E60" s="69"/>
      <c r="F60" s="69"/>
      <c r="G60" s="66"/>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4.25" hidden="false" customHeight="false" outlineLevel="0" collapsed="false">
      <c r="A61" s="14"/>
      <c r="B61" s="40" t="s">
        <v>8</v>
      </c>
      <c r="C61" s="40"/>
      <c r="D61" s="70"/>
      <c r="E61" s="71"/>
      <c r="F61" s="71"/>
      <c r="G61" s="35" t="n">
        <f aca="false">SUM(G36:G60)</f>
        <v>77</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4.25" hidden="false" customHeight="false" outlineLevel="0" collapsed="false">
      <c r="A62" s="14"/>
      <c r="B62" s="25"/>
      <c r="C62" s="25"/>
      <c r="D62" s="72"/>
      <c r="E62" s="3"/>
      <c r="F62" s="3"/>
      <c r="G62" s="73"/>
      <c r="H62" s="74"/>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4.25" hidden="false" customHeight="false" outlineLevel="0" collapsed="false">
      <c r="A63" s="14"/>
      <c r="B63" s="75" t="s">
        <v>75</v>
      </c>
      <c r="C63" s="75"/>
      <c r="D63" s="76"/>
      <c r="E63" s="77"/>
      <c r="F63" s="77"/>
      <c r="G63" s="78" t="n">
        <f aca="false">G61+G19+G28+G62</f>
        <v>502</v>
      </c>
      <c r="H63" s="79"/>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4.25" hidden="false" customHeight="false" outlineLevel="0" collapsed="false">
      <c r="A64" s="14"/>
      <c r="B64" s="2"/>
      <c r="C64" s="2"/>
      <c r="D64" s="2"/>
      <c r="E64" s="2"/>
      <c r="F64" s="2"/>
      <c r="G64" s="2"/>
      <c r="H64" s="65"/>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4.2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4.25" hidden="false" customHeight="false" outlineLevel="0" collapsed="false">
      <c r="A66" s="14"/>
      <c r="B66" s="25" t="s">
        <v>76</v>
      </c>
      <c r="C66" s="25" t="n">
        <f aca="false">'List - Hide'!AC11</f>
        <v>487</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4.25" hidden="false" customHeight="false" outlineLevel="0" collapsed="false">
      <c r="A67" s="14"/>
      <c r="B67" s="25" t="s">
        <v>77</v>
      </c>
      <c r="C67" s="25" t="n">
        <f aca="false">G63</f>
        <v>502</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4.25" hidden="false" customHeight="false" outlineLevel="0" collapsed="false">
      <c r="A68" s="14"/>
      <c r="B68" s="25" t="s">
        <v>78</v>
      </c>
      <c r="C68" s="40" t="n">
        <f aca="false">C66-C67</f>
        <v>-15</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4.2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4.2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4.2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4.2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4.2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4.2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4.2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4.25" hidden="false" customHeight="false" outlineLevel="0" collapsed="false">
      <c r="A76" s="14"/>
      <c r="B76" s="2"/>
      <c r="C76" s="2"/>
      <c r="D76" s="2"/>
      <c r="E76" s="2"/>
      <c r="F76" s="2"/>
      <c r="G76" s="2"/>
      <c r="H76" s="2"/>
      <c r="I76" s="27"/>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4.25" hidden="false" customHeight="false" outlineLevel="0" collapsed="false">
      <c r="A77" s="14"/>
      <c r="B77" s="2"/>
      <c r="C77" s="2"/>
      <c r="D77" s="2"/>
      <c r="E77" s="2"/>
      <c r="F77" s="2"/>
      <c r="G77" s="2"/>
      <c r="H77" s="2"/>
      <c r="I77" s="60"/>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4.25" hidden="false" customHeight="false" outlineLevel="0" collapsed="false">
      <c r="A78" s="2"/>
      <c r="B78" s="2"/>
      <c r="C78" s="2"/>
      <c r="D78" s="2"/>
      <c r="E78" s="2"/>
      <c r="F78" s="2"/>
      <c r="G78" s="2"/>
      <c r="H78" s="2"/>
      <c r="I78" s="60"/>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4.2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4.2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4.2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4.2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4.2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4.2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4.2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4.2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4.2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4.2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4.2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4.2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4.2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4.2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4.2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4.2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4.2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4.2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4.2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4.2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4.2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4.2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4.2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4.2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4.2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4.2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4.2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4.2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4.2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4.25" hidden="false" customHeight="false" outlineLevel="0" collapsed="false">
      <c r="A108" s="27"/>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4.2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4.2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4.2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4.2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4.2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4.2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4.2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4.2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4.2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4.2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4.2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4.2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4.2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4.2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4.2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4.2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4.2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4.2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4.2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4.2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4.2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4.2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4.2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4.2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4.2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4.2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4.2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4.2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4.2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4.2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4.2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4.2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4.2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4.2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4.2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4.2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4.2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4.2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4.2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4.2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4.2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4.2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4.2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4.2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4.2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4.2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4.2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4.2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4.2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4.2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4.2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4.2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4.2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4.2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4.2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4.2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4.2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4.2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4.2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4.2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4.2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4.2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4.2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4.2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4.2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4.2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4.2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4.2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4.2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4.2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4.2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4.2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4.2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4.2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4.2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4.2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4.2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4.2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4.2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4.2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4.2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4.2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4.2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4.2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4.2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4.2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4.2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4.2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4.2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4.2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4.2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4.2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4.2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4.2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4.2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4.2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4.2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4.2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4.2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4.2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4.2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4.2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4.2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4.2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4.2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4.2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4.2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4.2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4.2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4.2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4.2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4.2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4.2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4.2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4.2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4.2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4.2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4.2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4.2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4.2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4.2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4.2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4.2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4.2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4.2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4.2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4.2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4.2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4.2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4.2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4.2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4.2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4.2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4.2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4.2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4.2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4.2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4.2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4.2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4.2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4.2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4.2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4.2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4.2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4.2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4.2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4.2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4.2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4.2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4.2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4.2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4.2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4.2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4.2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4.2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4.2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4.2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4.2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4.2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4.2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4.2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4.25" hidden="false" customHeight="false" outlineLevel="0" collapsed="false">
      <c r="A270" s="2"/>
      <c r="B270" s="2"/>
      <c r="C270" s="2"/>
      <c r="D270" s="2"/>
      <c r="E270" s="2"/>
      <c r="F270" s="2"/>
      <c r="G270" s="2"/>
      <c r="H270" s="2"/>
      <c r="I270" s="2"/>
      <c r="J270" s="2"/>
      <c r="K270" s="2"/>
    </row>
    <row r="271" customFormat="false" ht="14.25" hidden="false" customHeight="false" outlineLevel="0" collapsed="false">
      <c r="A271" s="2"/>
      <c r="B271" s="2"/>
      <c r="C271" s="2"/>
      <c r="D271" s="2"/>
      <c r="E271" s="2"/>
      <c r="F271" s="2"/>
      <c r="G271" s="2"/>
      <c r="H271" s="2"/>
      <c r="I271" s="2"/>
      <c r="J271" s="2"/>
      <c r="K271" s="2"/>
    </row>
    <row r="272" customFormat="false" ht="14.25" hidden="false" customHeight="false" outlineLevel="0" collapsed="false">
      <c r="A272" s="2"/>
      <c r="B272" s="2"/>
      <c r="C272" s="2"/>
      <c r="D272" s="2"/>
      <c r="E272" s="2"/>
      <c r="F272" s="2"/>
      <c r="G272" s="2"/>
      <c r="H272" s="2"/>
      <c r="I272" s="2"/>
      <c r="J272" s="2"/>
      <c r="K272" s="2"/>
    </row>
    <row r="273" customFormat="false" ht="14.25" hidden="false" customHeight="false" outlineLevel="0" collapsed="false">
      <c r="A273" s="2"/>
      <c r="B273" s="2"/>
      <c r="C273" s="2"/>
      <c r="D273" s="2"/>
      <c r="E273" s="2"/>
      <c r="F273" s="2"/>
      <c r="G273" s="2"/>
      <c r="H273" s="2"/>
      <c r="I273" s="2"/>
      <c r="J273" s="2"/>
      <c r="K273" s="2"/>
    </row>
    <row r="274" customFormat="false" ht="14.25" hidden="false" customHeight="false" outlineLevel="0" collapsed="false">
      <c r="A274" s="2"/>
      <c r="B274" s="2"/>
      <c r="C274" s="2"/>
      <c r="D274" s="2"/>
      <c r="E274" s="2"/>
      <c r="F274" s="2"/>
      <c r="G274" s="2"/>
      <c r="H274" s="2"/>
      <c r="I274" s="2"/>
      <c r="J274" s="2"/>
      <c r="K274" s="2"/>
    </row>
    <row r="275" customFormat="false" ht="14.25" hidden="false" customHeight="false" outlineLevel="0" collapsed="false">
      <c r="A275" s="2"/>
      <c r="B275" s="2"/>
      <c r="C275" s="2"/>
      <c r="D275" s="2"/>
      <c r="E275" s="2"/>
      <c r="F275" s="2"/>
      <c r="G275" s="2"/>
      <c r="H275" s="2"/>
      <c r="I275" s="2"/>
      <c r="J275" s="2"/>
      <c r="K275" s="2"/>
    </row>
    <row r="276" customFormat="false" ht="14.25" hidden="false" customHeight="false" outlineLevel="0" collapsed="false">
      <c r="A276" s="2"/>
      <c r="B276" s="2"/>
      <c r="C276" s="2"/>
      <c r="D276" s="2"/>
      <c r="E276" s="2"/>
      <c r="F276" s="2"/>
      <c r="G276" s="2"/>
      <c r="H276" s="2"/>
      <c r="I276" s="2"/>
      <c r="J276" s="2"/>
      <c r="K276" s="2"/>
    </row>
    <row r="277" customFormat="false" ht="14.25" hidden="false" customHeight="false" outlineLevel="0" collapsed="false">
      <c r="A277" s="2"/>
      <c r="B277" s="2"/>
      <c r="C277" s="2"/>
      <c r="D277" s="2"/>
      <c r="E277" s="2"/>
      <c r="F277" s="2"/>
      <c r="G277" s="2"/>
      <c r="H277" s="2"/>
      <c r="I277" s="2"/>
      <c r="J277" s="2"/>
      <c r="K277" s="2"/>
    </row>
    <row r="278" customFormat="false" ht="14.25" hidden="false" customHeight="false" outlineLevel="0" collapsed="false">
      <c r="A278" s="2"/>
      <c r="B278" s="2"/>
      <c r="C278" s="2"/>
      <c r="D278" s="2"/>
      <c r="E278" s="2"/>
      <c r="F278" s="2"/>
      <c r="G278" s="2"/>
      <c r="H278" s="2"/>
      <c r="I278" s="2"/>
      <c r="J278" s="2"/>
      <c r="K278" s="2"/>
    </row>
    <row r="279" customFormat="false" ht="14.25" hidden="false" customHeight="false" outlineLevel="0" collapsed="false">
      <c r="A279" s="2"/>
      <c r="B279" s="2"/>
      <c r="C279" s="2"/>
      <c r="D279" s="2"/>
      <c r="E279" s="2"/>
      <c r="F279" s="2"/>
      <c r="G279" s="2"/>
      <c r="H279" s="2"/>
      <c r="I279" s="2"/>
      <c r="J279" s="2"/>
      <c r="K279" s="2"/>
    </row>
    <row r="280" customFormat="false" ht="14.25" hidden="false" customHeight="false" outlineLevel="0" collapsed="false">
      <c r="A280" s="2"/>
      <c r="B280" s="2"/>
      <c r="C280" s="2"/>
      <c r="D280" s="2"/>
      <c r="E280" s="2"/>
      <c r="F280" s="2"/>
      <c r="G280" s="2"/>
      <c r="H280" s="2"/>
      <c r="I280" s="2"/>
      <c r="J280" s="2"/>
      <c r="K280" s="2"/>
    </row>
    <row r="281" customFormat="false" ht="14.25" hidden="false" customHeight="false" outlineLevel="0" collapsed="false">
      <c r="A281" s="2"/>
      <c r="B281" s="2"/>
      <c r="C281" s="2"/>
      <c r="D281" s="2"/>
      <c r="E281" s="2"/>
      <c r="F281" s="2"/>
      <c r="G281" s="2"/>
      <c r="H281" s="2"/>
      <c r="I281" s="2"/>
      <c r="J281" s="2"/>
      <c r="K281" s="2"/>
    </row>
    <row r="282" customFormat="false" ht="14.25" hidden="false" customHeight="false" outlineLevel="0" collapsed="false">
      <c r="A282" s="2"/>
      <c r="B282" s="2"/>
      <c r="C282" s="2"/>
      <c r="D282" s="2"/>
      <c r="E282" s="2"/>
      <c r="F282" s="2"/>
      <c r="G282" s="2"/>
      <c r="H282" s="2"/>
      <c r="I282" s="2"/>
      <c r="J282" s="2"/>
      <c r="K282" s="2"/>
    </row>
    <row r="283" customFormat="false" ht="14.25" hidden="false" customHeight="false" outlineLevel="0" collapsed="false">
      <c r="A283" s="2"/>
      <c r="B283" s="2"/>
      <c r="C283" s="2"/>
      <c r="D283" s="2"/>
      <c r="E283" s="2"/>
      <c r="F283" s="2"/>
      <c r="G283" s="2"/>
      <c r="H283" s="2"/>
      <c r="I283" s="2"/>
      <c r="J283" s="2"/>
      <c r="K283" s="2"/>
    </row>
    <row r="284" customFormat="false" ht="14.25" hidden="false" customHeight="false" outlineLevel="0" collapsed="false">
      <c r="A284" s="2"/>
      <c r="B284" s="2"/>
      <c r="C284" s="2"/>
      <c r="D284" s="2"/>
      <c r="E284" s="2"/>
      <c r="F284" s="2"/>
      <c r="G284" s="2"/>
      <c r="H284" s="2"/>
      <c r="I284" s="2"/>
      <c r="J284" s="2"/>
      <c r="K284" s="2"/>
    </row>
    <row r="285" customFormat="false" ht="14.25" hidden="false" customHeight="false" outlineLevel="0" collapsed="false">
      <c r="A285" s="2"/>
      <c r="B285" s="2"/>
      <c r="C285" s="2"/>
      <c r="D285" s="2"/>
      <c r="E285" s="2"/>
      <c r="F285" s="2"/>
      <c r="G285" s="2"/>
      <c r="H285" s="2"/>
      <c r="I285" s="2"/>
      <c r="J285" s="2"/>
      <c r="K285" s="2"/>
    </row>
    <row r="286" customFormat="false" ht="14.25" hidden="false" customHeight="false" outlineLevel="0" collapsed="false">
      <c r="A286" s="2"/>
      <c r="B286" s="2"/>
      <c r="C286" s="2"/>
      <c r="D286" s="2"/>
      <c r="E286" s="2"/>
      <c r="F286" s="2"/>
      <c r="G286" s="2"/>
      <c r="H286" s="2"/>
      <c r="I286" s="2"/>
      <c r="J286" s="2"/>
      <c r="K286" s="2"/>
    </row>
    <row r="287" customFormat="false" ht="14.25" hidden="false" customHeight="false" outlineLevel="0" collapsed="false">
      <c r="A287" s="2"/>
      <c r="B287" s="2"/>
      <c r="C287" s="2"/>
      <c r="D287" s="2"/>
      <c r="E287" s="2"/>
      <c r="F287" s="2"/>
      <c r="G287" s="2"/>
      <c r="H287" s="2"/>
      <c r="I287" s="2"/>
      <c r="J287" s="2"/>
      <c r="K287" s="2"/>
    </row>
    <row r="288" customFormat="false" ht="14.25" hidden="false" customHeight="false" outlineLevel="0" collapsed="false">
      <c r="A288" s="2"/>
      <c r="B288" s="2"/>
      <c r="C288" s="2"/>
      <c r="D288" s="2"/>
      <c r="E288" s="2"/>
      <c r="F288" s="2"/>
      <c r="G288" s="2"/>
      <c r="H288" s="2"/>
      <c r="I288" s="2"/>
      <c r="J288" s="2"/>
      <c r="K288" s="2"/>
    </row>
    <row r="289" customFormat="false" ht="14.25" hidden="false" customHeight="false" outlineLevel="0" collapsed="false">
      <c r="A289" s="2"/>
      <c r="B289" s="2"/>
      <c r="C289" s="2"/>
      <c r="D289" s="2"/>
      <c r="E289" s="2"/>
      <c r="F289" s="2"/>
      <c r="G289" s="2"/>
      <c r="H289" s="2"/>
      <c r="I289" s="2"/>
      <c r="J289" s="2"/>
      <c r="K289" s="2"/>
    </row>
    <row r="290" customFormat="false" ht="14.25" hidden="false" customHeight="false" outlineLevel="0" collapsed="false">
      <c r="A290" s="2"/>
      <c r="B290" s="2"/>
      <c r="C290" s="2"/>
      <c r="D290" s="2"/>
      <c r="E290" s="2"/>
      <c r="F290" s="2"/>
      <c r="G290" s="2"/>
      <c r="H290" s="2"/>
      <c r="I290" s="2"/>
      <c r="J290" s="2"/>
      <c r="K290" s="2"/>
    </row>
    <row r="291" customFormat="false" ht="14.25" hidden="false" customHeight="false" outlineLevel="0" collapsed="false">
      <c r="A291" s="2"/>
      <c r="B291" s="2"/>
      <c r="C291" s="2"/>
      <c r="D291" s="2"/>
      <c r="E291" s="2"/>
      <c r="F291" s="2"/>
      <c r="G291" s="2"/>
      <c r="H291" s="2"/>
      <c r="I291" s="2"/>
      <c r="J291" s="2"/>
      <c r="K291" s="2"/>
    </row>
    <row r="292" customFormat="false" ht="14.25" hidden="false" customHeight="false" outlineLevel="0" collapsed="false">
      <c r="A292" s="2"/>
      <c r="B292" s="2"/>
      <c r="C292" s="2"/>
      <c r="D292" s="2"/>
      <c r="E292" s="2"/>
      <c r="F292" s="2"/>
      <c r="G292" s="2"/>
      <c r="H292" s="2"/>
      <c r="I292" s="2"/>
      <c r="J292" s="2"/>
      <c r="K292" s="2"/>
    </row>
    <row r="293" customFormat="false" ht="14.25" hidden="false" customHeight="false" outlineLevel="0" collapsed="false">
      <c r="A293" s="2"/>
      <c r="B293" s="2"/>
      <c r="C293" s="2"/>
      <c r="D293" s="2"/>
      <c r="E293" s="2"/>
      <c r="F293" s="2"/>
      <c r="G293" s="2"/>
      <c r="H293" s="2"/>
      <c r="I293" s="2"/>
      <c r="J293" s="2"/>
      <c r="K293" s="2"/>
    </row>
    <row r="294" customFormat="false" ht="14.25" hidden="false" customHeight="false" outlineLevel="0" collapsed="false">
      <c r="A294" s="2"/>
      <c r="B294" s="2"/>
      <c r="C294" s="2"/>
      <c r="D294" s="2"/>
      <c r="E294" s="2"/>
      <c r="F294" s="2"/>
      <c r="G294" s="2"/>
      <c r="H294" s="2"/>
      <c r="I294" s="2"/>
      <c r="J294" s="2"/>
      <c r="K294" s="2"/>
    </row>
    <row r="295" customFormat="false" ht="14.25" hidden="false" customHeight="false" outlineLevel="0" collapsed="false">
      <c r="A295" s="2"/>
      <c r="B295" s="2"/>
      <c r="C295" s="2"/>
      <c r="D295" s="2"/>
      <c r="E295" s="2"/>
      <c r="F295" s="2"/>
      <c r="G295" s="2"/>
      <c r="H295" s="2"/>
      <c r="I295" s="2"/>
      <c r="J295" s="2"/>
      <c r="K295" s="2"/>
    </row>
    <row r="296" customFormat="false" ht="14.25" hidden="false" customHeight="false" outlineLevel="0" collapsed="false">
      <c r="A296" s="2"/>
      <c r="H296" s="2"/>
      <c r="I296" s="2"/>
      <c r="J296" s="2"/>
      <c r="K296" s="2"/>
    </row>
    <row r="297" customFormat="false" ht="14.25" hidden="false" customHeight="false" outlineLevel="0" collapsed="false">
      <c r="A297" s="2"/>
      <c r="H297" s="2"/>
      <c r="I297" s="2"/>
      <c r="J297" s="2"/>
      <c r="K297" s="2"/>
    </row>
    <row r="298" customFormat="false" ht="14.25" hidden="false" customHeight="false" outlineLevel="0" collapsed="false">
      <c r="A298" s="2"/>
      <c r="H298" s="2"/>
      <c r="I298" s="2"/>
      <c r="J298" s="2"/>
      <c r="K298" s="2"/>
    </row>
    <row r="299" customFormat="false" ht="14.25" hidden="false" customHeight="false" outlineLevel="0" collapsed="false">
      <c r="A299" s="2"/>
      <c r="I299" s="2"/>
      <c r="J299" s="2"/>
      <c r="K299" s="2"/>
    </row>
    <row r="300" customFormat="false" ht="14.25" hidden="false" customHeight="false" outlineLevel="0" collapsed="false">
      <c r="A300" s="2"/>
      <c r="I300" s="2"/>
      <c r="J300" s="2"/>
      <c r="K300" s="2"/>
    </row>
    <row r="301" customFormat="false" ht="14.25" hidden="false" customHeight="false" outlineLevel="0" collapsed="false">
      <c r="A301" s="2"/>
      <c r="I301" s="2"/>
      <c r="J301" s="2"/>
      <c r="K301" s="2"/>
    </row>
    <row r="302" customFormat="false" ht="14.25" hidden="false" customHeight="false" outlineLevel="0" collapsed="false">
      <c r="A302" s="2"/>
      <c r="I302" s="2"/>
      <c r="J302" s="2"/>
      <c r="K302" s="2"/>
    </row>
    <row r="303" customFormat="false" ht="14.25" hidden="false" customHeight="false" outlineLevel="0" collapsed="false">
      <c r="A303" s="2"/>
      <c r="I303" s="2"/>
      <c r="J303" s="2"/>
      <c r="K303" s="2"/>
    </row>
    <row r="304" customFormat="false" ht="14.25" hidden="false" customHeight="false" outlineLevel="0" collapsed="false">
      <c r="A304" s="2"/>
      <c r="I304" s="2"/>
      <c r="J304" s="2"/>
      <c r="K304" s="2"/>
    </row>
    <row r="305" customFormat="false" ht="14.25" hidden="false" customHeight="false" outlineLevel="0" collapsed="false">
      <c r="A305" s="2"/>
      <c r="I305" s="2"/>
      <c r="J305" s="2"/>
      <c r="K305" s="2"/>
    </row>
    <row r="306" customFormat="false" ht="14.25" hidden="false" customHeight="false" outlineLevel="0" collapsed="false">
      <c r="A306" s="2"/>
      <c r="I306" s="2"/>
      <c r="J306" s="2"/>
      <c r="K306" s="2"/>
    </row>
    <row r="307" customFormat="false" ht="14.25" hidden="false" customHeight="false" outlineLevel="0" collapsed="false">
      <c r="A307" s="2"/>
      <c r="I307" s="2"/>
      <c r="J307" s="2"/>
      <c r="K307" s="2"/>
    </row>
    <row r="308" customFormat="false" ht="14.25" hidden="false" customHeight="false" outlineLevel="0" collapsed="false">
      <c r="A308" s="2"/>
      <c r="I308" s="2"/>
      <c r="J308" s="2"/>
      <c r="K308" s="2"/>
    </row>
    <row r="309" customFormat="false" ht="14.25" hidden="false" customHeight="false" outlineLevel="0" collapsed="false">
      <c r="A309" s="2"/>
      <c r="I309" s="2"/>
      <c r="J309" s="2"/>
      <c r="K309" s="2"/>
    </row>
    <row r="310" customFormat="false" ht="14.25" hidden="false" customHeight="false" outlineLevel="0" collapsed="false">
      <c r="A310" s="2"/>
      <c r="I310" s="2"/>
      <c r="J310" s="2"/>
      <c r="K310" s="2"/>
    </row>
    <row r="311" customFormat="false" ht="14.25" hidden="false" customHeight="false" outlineLevel="0" collapsed="false">
      <c r="A311" s="2"/>
      <c r="I311" s="2"/>
      <c r="J311" s="2"/>
      <c r="K311" s="2"/>
    </row>
    <row r="312" customFormat="false" ht="14.2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7: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8359375" defaultRowHeight="14.25" customHeight="true" zeroHeight="false" outlineLevelRow="0" outlineLevelCol="0"/>
  <cols>
    <col collapsed="false" customWidth="false" hidden="false" outlineLevel="0" max="1" min="1" style="48" width="9.18"/>
    <col collapsed="false" customWidth="true" hidden="false" outlineLevel="0" max="2" min="2" style="48" width="86.18"/>
    <col collapsed="false" customWidth="true" hidden="false" outlineLevel="0" max="3" min="3" style="48" width="83.82"/>
    <col collapsed="false" customWidth="false" hidden="false" outlineLevel="0" max="16384" min="4" style="48" width="9.18"/>
  </cols>
  <sheetData>
    <row r="2" customFormat="false" ht="17.35" hidden="false" customHeight="false" outlineLevel="0" collapsed="false">
      <c r="B2" s="80" t="s">
        <v>79</v>
      </c>
    </row>
    <row r="4" customFormat="false" ht="14.25" hidden="false" customHeight="false" outlineLevel="0" collapsed="false">
      <c r="B4" s="81" t="s">
        <v>80</v>
      </c>
      <c r="C4" s="82" t="s">
        <v>81</v>
      </c>
    </row>
    <row r="5" customFormat="false" ht="19.5" hidden="false" customHeight="true" outlineLevel="0" collapsed="false">
      <c r="B5" s="83" t="s">
        <v>82</v>
      </c>
      <c r="C5" s="83"/>
    </row>
    <row r="6" customFormat="false" ht="27" hidden="false" customHeight="true" outlineLevel="0" collapsed="false">
      <c r="B6" s="83" t="s">
        <v>83</v>
      </c>
      <c r="C6" s="83"/>
    </row>
    <row r="7" customFormat="false" ht="29.25" hidden="false" customHeight="true" outlineLevel="0" collapsed="false">
      <c r="B7" s="83" t="s">
        <v>84</v>
      </c>
      <c r="C7" s="83"/>
    </row>
    <row r="8" customFormat="false" ht="20.25" hidden="false" customHeight="true" outlineLevel="0" collapsed="false">
      <c r="B8" s="83" t="s">
        <v>85</v>
      </c>
      <c r="C8" s="83" t="s">
        <v>86</v>
      </c>
    </row>
    <row r="9" customFormat="false" ht="51.75" hidden="false" customHeight="true" outlineLevel="0" collapsed="false">
      <c r="B9" s="83" t="s">
        <v>87</v>
      </c>
      <c r="C9" s="84" t="s">
        <v>88</v>
      </c>
    </row>
    <row r="10" customFormat="false" ht="30" hidden="false" customHeight="true" outlineLevel="0" collapsed="false">
      <c r="B10" s="83" t="s">
        <v>89</v>
      </c>
      <c r="C10" s="83" t="s">
        <v>90</v>
      </c>
    </row>
    <row r="11" customFormat="false" ht="30.75" hidden="false" customHeight="true" outlineLevel="0" collapsed="false">
      <c r="B11" s="83" t="s">
        <v>91</v>
      </c>
      <c r="C11" s="83" t="s">
        <v>92</v>
      </c>
    </row>
    <row r="12" customFormat="false" ht="27.75" hidden="false" customHeight="true" outlineLevel="0" collapsed="false">
      <c r="B12" s="83" t="s">
        <v>93</v>
      </c>
      <c r="C12" s="83" t="s">
        <v>90</v>
      </c>
    </row>
    <row r="13" customFormat="false" ht="33" hidden="false" customHeight="true" outlineLevel="0" collapsed="false">
      <c r="B13" s="83" t="s">
        <v>94</v>
      </c>
      <c r="C13" s="83" t="s">
        <v>29</v>
      </c>
    </row>
    <row r="14" customFormat="false" ht="30.75" hidden="false" customHeight="true" outlineLevel="0" collapsed="false">
      <c r="B14" s="83" t="s">
        <v>95</v>
      </c>
      <c r="C14" s="83" t="s">
        <v>96</v>
      </c>
    </row>
    <row r="15" customFormat="false" ht="19.5" hidden="false" customHeight="true" outlineLevel="0" collapsed="false">
      <c r="B15" s="83" t="s">
        <v>97</v>
      </c>
      <c r="C15" s="83"/>
    </row>
    <row r="16" customFormat="false" ht="14.25" hidden="false" customHeight="false" outlineLevel="0" collapsed="false">
      <c r="B16" s="85"/>
      <c r="C16" s="85"/>
    </row>
    <row r="17" customFormat="false" ht="14.25" hidden="false" customHeight="false" outlineLevel="0" collapsed="false">
      <c r="B17" s="85"/>
      <c r="C17" s="85"/>
    </row>
    <row r="18" customFormat="false" ht="14.25" hidden="false" customHeight="false" outlineLevel="0" collapsed="false">
      <c r="B18" s="85"/>
      <c r="C18" s="85"/>
    </row>
    <row r="19" customFormat="false" ht="14.25" hidden="false" customHeight="false" outlineLevel="0" collapsed="false">
      <c r="B19" s="85"/>
      <c r="C19" s="85"/>
    </row>
    <row r="20" customFormat="false" ht="14.25" hidden="false" customHeight="false" outlineLevel="0" collapsed="false">
      <c r="B20" s="85"/>
      <c r="C20" s="85"/>
    </row>
    <row r="21" customFormat="false" ht="14.25" hidden="false" customHeight="false" outlineLevel="0" collapsed="false">
      <c r="B21" s="85"/>
      <c r="C21" s="85"/>
    </row>
    <row r="22" customFormat="false" ht="14.25" hidden="false" customHeight="false" outlineLevel="0" collapsed="false">
      <c r="B22" s="85"/>
      <c r="C22" s="85"/>
    </row>
    <row r="23" customFormat="false" ht="14.25" hidden="false" customHeight="false" outlineLevel="0" collapsed="false">
      <c r="B23" s="85"/>
      <c r="C23" s="85"/>
    </row>
    <row r="24" customFormat="false" ht="14.25" hidden="false" customHeight="false" outlineLevel="0" collapsed="false">
      <c r="B24" s="85"/>
      <c r="C24" s="85"/>
    </row>
    <row r="25" customFormat="false" ht="14.25" hidden="false" customHeight="false" outlineLevel="0" collapsed="false">
      <c r="B25" s="85"/>
      <c r="C25" s="85"/>
    </row>
    <row r="26" customFormat="false" ht="14.25" hidden="false" customHeight="false" outlineLevel="0" collapsed="false">
      <c r="B26" s="85"/>
      <c r="C26" s="85"/>
    </row>
    <row r="27" customFormat="false" ht="14.25" hidden="false" customHeight="false" outlineLevel="0" collapsed="false">
      <c r="B27" s="85"/>
      <c r="C27" s="85"/>
    </row>
    <row r="28" customFormat="false" ht="14.25" hidden="false" customHeight="false" outlineLevel="0" collapsed="false">
      <c r="B28" s="85"/>
      <c r="C28" s="8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4.2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0" activeCellId="0" sqref="B30"/>
    </sheetView>
  </sheetViews>
  <sheetFormatPr defaultColWidth="9.18359375" defaultRowHeight="14.25" customHeight="true" zeroHeight="false" outlineLevelRow="0" outlineLevelCol="0"/>
  <cols>
    <col collapsed="false" customWidth="true" hidden="false" outlineLevel="0" max="1" min="1" style="48" width="84.27"/>
    <col collapsed="false" customWidth="true" hidden="false" outlineLevel="0" max="2" min="2" style="48" width="94.27"/>
    <col collapsed="false" customWidth="true" hidden="false" outlineLevel="0" max="3" min="3" style="48" width="71"/>
    <col collapsed="false" customWidth="false" hidden="false" outlineLevel="0" max="16384" min="4" style="48" width="9.18"/>
  </cols>
  <sheetData>
    <row r="1" customFormat="false" ht="14.25" hidden="false" customHeight="false" outlineLevel="0" collapsed="false">
      <c r="A1" s="86" t="s">
        <v>98</v>
      </c>
      <c r="B1" s="49" t="s">
        <v>99</v>
      </c>
      <c r="C1" s="49" t="s">
        <v>100</v>
      </c>
    </row>
    <row r="2" customFormat="false" ht="30" hidden="false" customHeight="true" outlineLevel="0" collapsed="false">
      <c r="A2" s="87" t="s">
        <v>101</v>
      </c>
      <c r="B2" s="88" t="s">
        <v>102</v>
      </c>
      <c r="C2" s="89" t="s">
        <v>103</v>
      </c>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c r="AG2" s="65"/>
      <c r="AH2" s="65"/>
      <c r="AI2" s="65"/>
      <c r="AJ2" s="65"/>
      <c r="AK2" s="65"/>
      <c r="AL2" s="65"/>
      <c r="AM2" s="65"/>
      <c r="AN2" s="65"/>
      <c r="AO2" s="65"/>
      <c r="AP2" s="65"/>
      <c r="AQ2" s="65"/>
      <c r="AR2" s="65"/>
      <c r="AS2" s="65"/>
      <c r="AT2" s="65"/>
      <c r="AU2" s="65"/>
      <c r="AV2" s="65"/>
      <c r="AW2" s="65"/>
      <c r="AX2" s="65"/>
      <c r="AY2" s="65"/>
      <c r="AZ2" s="65"/>
      <c r="BA2" s="65"/>
    </row>
    <row r="3" customFormat="false" ht="35.05" hidden="false" customHeight="false" outlineLevel="0" collapsed="false">
      <c r="A3" s="87" t="s">
        <v>104</v>
      </c>
      <c r="B3" s="89" t="s">
        <v>105</v>
      </c>
      <c r="C3" s="89" t="s">
        <v>106</v>
      </c>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5"/>
      <c r="AM3" s="65"/>
      <c r="AN3" s="65"/>
      <c r="AO3" s="65"/>
      <c r="AP3" s="65"/>
      <c r="AQ3" s="65"/>
      <c r="AR3" s="65"/>
      <c r="AS3" s="65"/>
      <c r="AT3" s="65"/>
      <c r="AU3" s="65"/>
      <c r="AV3" s="65"/>
      <c r="AW3" s="65"/>
      <c r="AX3" s="65"/>
      <c r="AY3" s="65"/>
      <c r="AZ3" s="65"/>
      <c r="BA3" s="65"/>
    </row>
    <row r="4" customFormat="false" ht="35.05" hidden="false" customHeight="false" outlineLevel="0" collapsed="false">
      <c r="A4" s="87" t="s">
        <v>107</v>
      </c>
      <c r="B4" s="89" t="s">
        <v>108</v>
      </c>
      <c r="C4" s="89" t="s">
        <v>109</v>
      </c>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5"/>
      <c r="BA4" s="65"/>
    </row>
    <row r="5" customFormat="false" ht="23.85" hidden="false" customHeight="false" outlineLevel="0" collapsed="false">
      <c r="A5" s="87" t="s">
        <v>110</v>
      </c>
      <c r="B5" s="89" t="s">
        <v>59</v>
      </c>
      <c r="C5" s="89" t="s">
        <v>111</v>
      </c>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c r="AG5" s="65"/>
      <c r="AH5" s="65"/>
      <c r="AI5" s="65"/>
      <c r="AJ5" s="65"/>
      <c r="AK5" s="65"/>
      <c r="AL5" s="65"/>
      <c r="AM5" s="65"/>
      <c r="AN5" s="65"/>
      <c r="AO5" s="65"/>
      <c r="AP5" s="65"/>
      <c r="AQ5" s="65"/>
      <c r="AR5" s="65"/>
      <c r="AS5" s="65"/>
      <c r="AT5" s="65"/>
      <c r="AU5" s="65"/>
      <c r="AV5" s="65"/>
      <c r="AW5" s="65"/>
      <c r="AX5" s="65"/>
      <c r="AY5" s="65"/>
      <c r="AZ5" s="65"/>
      <c r="BA5" s="65"/>
    </row>
    <row r="6" customFormat="false" ht="23.85" hidden="false" customHeight="false" outlineLevel="0" collapsed="false">
      <c r="A6" s="87" t="s">
        <v>112</v>
      </c>
      <c r="B6" s="89" t="s">
        <v>113</v>
      </c>
      <c r="C6" s="89" t="s">
        <v>114</v>
      </c>
      <c r="D6" s="65"/>
      <c r="E6" s="65"/>
      <c r="F6" s="65"/>
      <c r="G6" s="65"/>
      <c r="H6" s="65"/>
      <c r="I6" s="65"/>
      <c r="J6" s="65"/>
      <c r="K6" s="65"/>
      <c r="L6" s="65"/>
      <c r="M6" s="65"/>
      <c r="N6" s="65"/>
      <c r="O6" s="65"/>
      <c r="P6" s="65"/>
      <c r="Q6" s="65"/>
      <c r="R6" s="65"/>
      <c r="S6" s="65"/>
      <c r="T6" s="65"/>
      <c r="U6" s="65"/>
      <c r="V6" s="65"/>
      <c r="W6" s="65"/>
      <c r="X6" s="65"/>
      <c r="Y6" s="65"/>
      <c r="Z6" s="65"/>
      <c r="AA6" s="65"/>
      <c r="AB6" s="65"/>
      <c r="AC6" s="65"/>
      <c r="AD6" s="65"/>
      <c r="AE6" s="65"/>
      <c r="AF6" s="65"/>
      <c r="AG6" s="65"/>
      <c r="AH6" s="65"/>
      <c r="AI6" s="65"/>
      <c r="AJ6" s="65"/>
      <c r="AK6" s="65"/>
      <c r="AL6" s="65"/>
      <c r="AM6" s="65"/>
      <c r="AN6" s="65"/>
      <c r="AO6" s="65"/>
      <c r="AP6" s="65"/>
      <c r="AQ6" s="65"/>
      <c r="AR6" s="65"/>
      <c r="AS6" s="65"/>
      <c r="AT6" s="65"/>
      <c r="AU6" s="65"/>
      <c r="AV6" s="65"/>
      <c r="AW6" s="65"/>
      <c r="AX6" s="65"/>
      <c r="AY6" s="65"/>
      <c r="AZ6" s="65"/>
      <c r="BA6" s="65"/>
    </row>
    <row r="7" customFormat="false" ht="23.85" hidden="false" customHeight="false" outlineLevel="0" collapsed="false">
      <c r="A7" s="87" t="s">
        <v>115</v>
      </c>
      <c r="B7" s="89" t="s">
        <v>116</v>
      </c>
      <c r="C7" s="89" t="s">
        <v>117</v>
      </c>
      <c r="D7" s="65"/>
      <c r="E7" s="65"/>
      <c r="F7" s="65"/>
      <c r="G7" s="65"/>
      <c r="H7" s="65"/>
      <c r="I7" s="65"/>
      <c r="J7" s="65"/>
      <c r="K7" s="65"/>
      <c r="L7" s="65"/>
      <c r="M7" s="65"/>
      <c r="N7" s="65"/>
      <c r="O7" s="65"/>
      <c r="P7" s="65"/>
      <c r="Q7" s="65"/>
      <c r="R7" s="65"/>
      <c r="S7" s="65"/>
      <c r="T7" s="65"/>
      <c r="U7" s="65"/>
      <c r="V7" s="65"/>
      <c r="W7" s="65"/>
      <c r="X7" s="65"/>
      <c r="Y7" s="65"/>
      <c r="Z7" s="65"/>
      <c r="AA7" s="65"/>
      <c r="AB7" s="65"/>
      <c r="AC7" s="65"/>
      <c r="AD7" s="65"/>
      <c r="AE7" s="65"/>
      <c r="AF7" s="65"/>
      <c r="AG7" s="65"/>
      <c r="AH7" s="65"/>
      <c r="AI7" s="65"/>
      <c r="AJ7" s="65"/>
      <c r="AK7" s="65"/>
      <c r="AL7" s="65"/>
      <c r="AM7" s="65"/>
      <c r="AN7" s="65"/>
      <c r="AO7" s="65"/>
      <c r="AP7" s="65"/>
      <c r="AQ7" s="65"/>
      <c r="AR7" s="65"/>
      <c r="AS7" s="65"/>
      <c r="AT7" s="65"/>
      <c r="AU7" s="65"/>
      <c r="AV7" s="65"/>
      <c r="AW7" s="65"/>
      <c r="AX7" s="65"/>
      <c r="AY7" s="65"/>
      <c r="AZ7" s="65"/>
      <c r="BA7" s="65"/>
    </row>
    <row r="8" customFormat="false" ht="23.85" hidden="false" customHeight="false" outlineLevel="0" collapsed="false">
      <c r="A8" s="87" t="s">
        <v>118</v>
      </c>
      <c r="B8" s="89" t="s">
        <v>119</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5"/>
      <c r="AP8" s="65"/>
      <c r="AQ8" s="65"/>
      <c r="AR8" s="65"/>
      <c r="AS8" s="65"/>
      <c r="AT8" s="65"/>
      <c r="AU8" s="65"/>
      <c r="AV8" s="65"/>
      <c r="AW8" s="65"/>
      <c r="AX8" s="65"/>
      <c r="AY8" s="65"/>
      <c r="AZ8" s="65"/>
      <c r="BA8" s="65"/>
    </row>
    <row r="9" customFormat="false" ht="14.25" hidden="false" customHeight="false" outlineLevel="0" collapsed="false">
      <c r="A9" s="87" t="s">
        <v>62</v>
      </c>
      <c r="B9" s="89" t="s">
        <v>120</v>
      </c>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c r="AG9" s="65"/>
      <c r="AH9" s="65"/>
      <c r="AI9" s="65"/>
      <c r="AJ9" s="65"/>
      <c r="AK9" s="65"/>
      <c r="AL9" s="65"/>
      <c r="AM9" s="65"/>
      <c r="AN9" s="65"/>
      <c r="AO9" s="65"/>
      <c r="AP9" s="65"/>
      <c r="AQ9" s="65"/>
      <c r="AR9" s="65"/>
      <c r="AS9" s="65"/>
      <c r="AT9" s="65"/>
      <c r="AU9" s="65"/>
      <c r="AV9" s="65"/>
      <c r="AW9" s="65"/>
      <c r="AX9" s="65"/>
      <c r="AY9" s="65"/>
      <c r="AZ9" s="65"/>
      <c r="BA9" s="65"/>
    </row>
    <row r="10" customFormat="false" ht="23.85" hidden="false" customHeight="false" outlineLevel="0" collapsed="false">
      <c r="A10" s="87" t="s">
        <v>121</v>
      </c>
      <c r="B10" s="89" t="s">
        <v>122</v>
      </c>
      <c r="C10" s="65"/>
      <c r="D10" s="65"/>
      <c r="E10" s="65"/>
      <c r="F10" s="65"/>
      <c r="G10" s="65"/>
      <c r="H10" s="65"/>
      <c r="I10" s="65"/>
      <c r="J10" s="65"/>
      <c r="K10" s="65"/>
      <c r="L10" s="65"/>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c r="AY10" s="65"/>
      <c r="AZ10" s="65"/>
      <c r="BA10" s="65"/>
    </row>
    <row r="11" customFormat="false" ht="23.85" hidden="false" customHeight="false" outlineLevel="0" collapsed="false">
      <c r="A11" s="87" t="s">
        <v>123</v>
      </c>
      <c r="B11" s="89" t="s">
        <v>124</v>
      </c>
      <c r="C11" s="65"/>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c r="AY11" s="65"/>
      <c r="AZ11" s="65"/>
      <c r="BA11" s="65"/>
    </row>
    <row r="12" customFormat="false" ht="23.85" hidden="false" customHeight="false" outlineLevel="0" collapsed="false">
      <c r="A12" s="87" t="s">
        <v>125</v>
      </c>
      <c r="B12" s="65" t="s">
        <v>126</v>
      </c>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c r="AY12" s="65"/>
      <c r="AZ12" s="65"/>
      <c r="BA12" s="65"/>
    </row>
    <row r="13" customFormat="false" ht="23.85" hidden="false" customHeight="false" outlineLevel="0" collapsed="false">
      <c r="A13" s="87" t="s">
        <v>127</v>
      </c>
      <c r="B13" s="65" t="s">
        <v>128</v>
      </c>
      <c r="C13" s="65"/>
      <c r="D13" s="65"/>
      <c r="E13" s="65"/>
      <c r="F13" s="65"/>
      <c r="G13" s="65"/>
      <c r="H13" s="65"/>
      <c r="I13" s="65"/>
      <c r="J13" s="65"/>
      <c r="K13" s="65"/>
      <c r="L13" s="65"/>
      <c r="M13" s="65"/>
      <c r="N13" s="65"/>
      <c r="O13" s="65"/>
      <c r="P13" s="65"/>
      <c r="Q13" s="65"/>
      <c r="R13" s="65"/>
      <c r="S13" s="65"/>
      <c r="T13" s="65"/>
      <c r="U13" s="65"/>
      <c r="V13" s="65"/>
      <c r="W13" s="65"/>
      <c r="X13" s="65"/>
      <c r="Y13" s="65"/>
      <c r="Z13" s="65"/>
      <c r="AA13" s="65"/>
      <c r="AB13" s="65"/>
      <c r="AC13" s="65"/>
      <c r="AD13" s="65"/>
      <c r="AE13" s="65"/>
      <c r="AF13" s="65"/>
      <c r="AG13" s="65"/>
      <c r="AH13" s="65"/>
      <c r="AI13" s="65"/>
      <c r="AJ13" s="65"/>
      <c r="AK13" s="65"/>
      <c r="AL13" s="65"/>
      <c r="AM13" s="65"/>
      <c r="AN13" s="65"/>
      <c r="AO13" s="65"/>
      <c r="AP13" s="65"/>
      <c r="AQ13" s="65"/>
      <c r="AR13" s="65"/>
      <c r="AS13" s="65"/>
      <c r="AT13" s="65"/>
      <c r="AU13" s="65"/>
      <c r="AV13" s="65"/>
      <c r="AW13" s="65"/>
      <c r="AX13" s="65"/>
      <c r="AY13" s="65"/>
      <c r="AZ13" s="65"/>
      <c r="BA13" s="65"/>
    </row>
    <row r="14" customFormat="false" ht="23.85" hidden="false" customHeight="false" outlineLevel="0" collapsed="false">
      <c r="A14" s="87" t="s">
        <v>129</v>
      </c>
      <c r="B14" s="65" t="s">
        <v>130</v>
      </c>
      <c r="C14" s="65"/>
      <c r="D14" s="65"/>
      <c r="E14" s="65"/>
      <c r="F14" s="65"/>
      <c r="G14" s="65"/>
      <c r="H14" s="65"/>
      <c r="I14" s="65"/>
      <c r="J14" s="65"/>
      <c r="K14" s="65"/>
      <c r="L14" s="65"/>
      <c r="M14" s="65"/>
      <c r="N14" s="65"/>
      <c r="O14" s="65"/>
      <c r="P14" s="65"/>
      <c r="Q14" s="65"/>
      <c r="R14" s="65"/>
      <c r="S14" s="65"/>
      <c r="T14" s="65"/>
      <c r="U14" s="65"/>
      <c r="V14" s="65"/>
      <c r="W14" s="65"/>
      <c r="X14" s="65"/>
      <c r="Y14" s="65"/>
      <c r="Z14" s="65"/>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c r="AY14" s="65"/>
      <c r="AZ14" s="65"/>
      <c r="BA14" s="65"/>
    </row>
    <row r="15" customFormat="false" ht="23.85" hidden="false" customHeight="false" outlineLevel="0" collapsed="false">
      <c r="A15" s="87" t="s">
        <v>131</v>
      </c>
      <c r="B15" s="65" t="s">
        <v>132</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I15" s="65"/>
      <c r="AJ15" s="65"/>
      <c r="AK15" s="65"/>
      <c r="AL15" s="65"/>
      <c r="AM15" s="65"/>
      <c r="AN15" s="65"/>
      <c r="AO15" s="65"/>
      <c r="AP15" s="65"/>
      <c r="AQ15" s="65"/>
      <c r="AR15" s="65"/>
      <c r="AS15" s="65"/>
      <c r="AT15" s="65"/>
      <c r="AU15" s="65"/>
      <c r="AV15" s="65"/>
      <c r="AW15" s="65"/>
      <c r="AX15" s="65"/>
      <c r="AY15" s="65"/>
      <c r="AZ15" s="65"/>
      <c r="BA15" s="65"/>
    </row>
    <row r="16" customFormat="false" ht="23.85" hidden="false" customHeight="false" outlineLevel="0" collapsed="false">
      <c r="A16" s="87" t="s">
        <v>133</v>
      </c>
      <c r="B16" s="65" t="s">
        <v>134</v>
      </c>
      <c r="C16" s="65"/>
      <c r="D16" s="65"/>
      <c r="E16" s="65"/>
      <c r="F16" s="65"/>
      <c r="G16" s="65"/>
      <c r="H16" s="65"/>
      <c r="I16" s="65"/>
      <c r="J16" s="65"/>
      <c r="K16" s="65"/>
      <c r="L16" s="65"/>
      <c r="M16" s="65"/>
      <c r="N16" s="65"/>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row>
    <row r="17" customFormat="false" ht="35.05" hidden="false" customHeight="false" outlineLevel="0" collapsed="false">
      <c r="A17" s="87" t="s">
        <v>135</v>
      </c>
      <c r="B17" s="65" t="s">
        <v>136</v>
      </c>
      <c r="C17" s="65"/>
      <c r="D17" s="65"/>
      <c r="E17" s="65"/>
      <c r="F17" s="65"/>
      <c r="G17" s="65"/>
      <c r="H17" s="65"/>
      <c r="I17" s="65"/>
      <c r="J17" s="65"/>
      <c r="K17" s="65"/>
      <c r="L17" s="65"/>
      <c r="M17" s="65"/>
      <c r="N17" s="65"/>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c r="AX17" s="65"/>
      <c r="AY17" s="65"/>
      <c r="AZ17" s="65"/>
      <c r="BA17" s="65"/>
    </row>
    <row r="18" customFormat="false" ht="23.85" hidden="false" customHeight="false" outlineLevel="0" collapsed="false">
      <c r="A18" s="87" t="s">
        <v>56</v>
      </c>
      <c r="B18" s="65" t="s">
        <v>137</v>
      </c>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row>
    <row r="19" customFormat="false" ht="23.85" hidden="false" customHeight="false" outlineLevel="0" collapsed="false">
      <c r="A19" s="87" t="s">
        <v>138</v>
      </c>
      <c r="B19" s="65" t="s">
        <v>139</v>
      </c>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c r="AF19" s="65"/>
      <c r="AG19" s="65"/>
      <c r="AH19" s="65"/>
      <c r="AI19" s="65"/>
      <c r="AJ19" s="65"/>
      <c r="AK19" s="65"/>
      <c r="AL19" s="65"/>
      <c r="AM19" s="65"/>
      <c r="AN19" s="65"/>
      <c r="AO19" s="65"/>
      <c r="AP19" s="65"/>
      <c r="AQ19" s="65"/>
      <c r="AR19" s="65"/>
      <c r="AS19" s="65"/>
      <c r="AT19" s="65"/>
      <c r="AU19" s="65"/>
      <c r="AV19" s="65"/>
      <c r="AW19" s="65"/>
      <c r="AX19" s="65"/>
      <c r="AY19" s="65"/>
      <c r="AZ19" s="65"/>
      <c r="BA19" s="65"/>
    </row>
    <row r="20" customFormat="false" ht="14.25" hidden="false" customHeight="false" outlineLevel="0" collapsed="false">
      <c r="A20" s="87" t="s">
        <v>140</v>
      </c>
      <c r="B20" s="65" t="s">
        <v>141</v>
      </c>
      <c r="C20" s="65"/>
      <c r="D20" s="65"/>
      <c r="E20" s="65"/>
      <c r="F20" s="65"/>
      <c r="G20" s="65"/>
      <c r="H20" s="65"/>
      <c r="I20" s="65"/>
      <c r="J20" s="65"/>
      <c r="K20" s="65"/>
      <c r="L20" s="65"/>
      <c r="M20" s="65"/>
      <c r="N20" s="65"/>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65"/>
    </row>
    <row r="21" customFormat="false" ht="14.25" hidden="false" customHeight="false" outlineLevel="0" collapsed="false">
      <c r="A21" s="87" t="s">
        <v>142</v>
      </c>
      <c r="B21" s="65" t="s">
        <v>143</v>
      </c>
      <c r="C21" s="65"/>
      <c r="D21" s="65"/>
      <c r="E21" s="65"/>
      <c r="F21" s="65"/>
      <c r="G21" s="65"/>
      <c r="H21" s="65"/>
      <c r="I21" s="65"/>
      <c r="J21" s="65"/>
      <c r="K21" s="65"/>
      <c r="L21" s="65"/>
      <c r="M21" s="65"/>
      <c r="N21" s="65"/>
      <c r="O21" s="65"/>
      <c r="P21" s="65"/>
      <c r="Q21" s="65"/>
      <c r="R21" s="65"/>
      <c r="S21" s="65"/>
      <c r="T21" s="65"/>
      <c r="U21" s="65"/>
      <c r="V21" s="65"/>
      <c r="W21" s="65"/>
      <c r="X21" s="65"/>
      <c r="Y21" s="65"/>
      <c r="Z21" s="65"/>
      <c r="AA21" s="65"/>
      <c r="AB21" s="65"/>
      <c r="AC21" s="65"/>
      <c r="AD21" s="65"/>
      <c r="AE21" s="65"/>
      <c r="AF21" s="65"/>
      <c r="AG21" s="65"/>
      <c r="AH21" s="65"/>
      <c r="AI21" s="65"/>
      <c r="AJ21" s="65"/>
      <c r="AK21" s="65"/>
      <c r="AL21" s="65"/>
      <c r="AM21" s="65"/>
      <c r="AN21" s="65"/>
      <c r="AO21" s="65"/>
      <c r="AP21" s="65"/>
      <c r="AQ21" s="65"/>
      <c r="AR21" s="65"/>
      <c r="AS21" s="65"/>
      <c r="AT21" s="65"/>
      <c r="AU21" s="65"/>
      <c r="AV21" s="65"/>
      <c r="AW21" s="65"/>
      <c r="AX21" s="65"/>
      <c r="AY21" s="65"/>
      <c r="AZ21" s="65"/>
      <c r="BA21" s="65"/>
    </row>
    <row r="22" customFormat="false" ht="23.85" hidden="false" customHeight="false" outlineLevel="0" collapsed="false">
      <c r="A22" s="87" t="s">
        <v>144</v>
      </c>
      <c r="B22" s="65" t="s">
        <v>145</v>
      </c>
      <c r="C22" s="65"/>
      <c r="D22" s="65"/>
      <c r="E22" s="65"/>
      <c r="F22" s="65"/>
      <c r="G22" s="65"/>
      <c r="H22" s="65"/>
      <c r="I22" s="65"/>
      <c r="J22" s="65"/>
      <c r="K22" s="65"/>
      <c r="L22" s="65"/>
      <c r="M22" s="65"/>
      <c r="N22" s="65"/>
      <c r="O22" s="65"/>
      <c r="P22" s="65"/>
      <c r="Q22" s="65"/>
      <c r="R22" s="65"/>
      <c r="S22" s="65"/>
      <c r="T22" s="65"/>
      <c r="U22" s="65"/>
      <c r="V22" s="65"/>
      <c r="W22" s="65"/>
      <c r="X22" s="65"/>
      <c r="Y22" s="65"/>
      <c r="Z22" s="65"/>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c r="AY22" s="65"/>
      <c r="AZ22" s="65"/>
      <c r="BA22" s="65"/>
    </row>
    <row r="23" customFormat="false" ht="23.85" hidden="false" customHeight="false" outlineLevel="0" collapsed="false">
      <c r="A23" s="87" t="s">
        <v>146</v>
      </c>
      <c r="B23" s="65" t="s">
        <v>147</v>
      </c>
      <c r="C23" s="65"/>
      <c r="D23" s="65"/>
      <c r="E23" s="65"/>
      <c r="F23" s="65"/>
      <c r="G23" s="65"/>
      <c r="H23" s="65"/>
      <c r="I23" s="65"/>
      <c r="J23" s="65"/>
      <c r="K23" s="65"/>
      <c r="L23" s="65"/>
      <c r="M23" s="65"/>
      <c r="N23" s="65"/>
      <c r="O23" s="65"/>
      <c r="P23" s="65"/>
      <c r="Q23" s="65"/>
      <c r="R23" s="65"/>
      <c r="S23" s="65"/>
      <c r="T23" s="65"/>
      <c r="U23" s="65"/>
      <c r="V23" s="65"/>
      <c r="W23" s="65"/>
      <c r="X23" s="65"/>
      <c r="Y23" s="65"/>
      <c r="Z23" s="65"/>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c r="AY23" s="65"/>
      <c r="AZ23" s="65"/>
      <c r="BA23" s="65"/>
    </row>
    <row r="24" customFormat="false" ht="14.25" hidden="false" customHeight="false" outlineLevel="0" collapsed="false">
      <c r="A24" s="87" t="s">
        <v>148</v>
      </c>
      <c r="B24" s="65" t="s">
        <v>149</v>
      </c>
      <c r="C24" s="65"/>
      <c r="D24" s="65"/>
      <c r="E24" s="65"/>
      <c r="F24" s="65"/>
      <c r="G24" s="65"/>
      <c r="H24" s="65"/>
      <c r="I24" s="65"/>
      <c r="J24" s="65"/>
      <c r="K24" s="65"/>
      <c r="L24" s="65"/>
      <c r="M24" s="65"/>
      <c r="N24" s="65"/>
      <c r="O24" s="65"/>
      <c r="P24" s="65"/>
      <c r="Q24" s="65"/>
      <c r="R24" s="65"/>
      <c r="S24" s="65"/>
      <c r="T24" s="65"/>
      <c r="U24" s="65"/>
      <c r="V24" s="65"/>
      <c r="W24" s="65"/>
      <c r="X24" s="65"/>
      <c r="Y24" s="65"/>
      <c r="Z24" s="65"/>
      <c r="AA24" s="65"/>
      <c r="AB24" s="65"/>
      <c r="AC24" s="65"/>
      <c r="AD24" s="65"/>
      <c r="AE24" s="65"/>
      <c r="AF24" s="65"/>
      <c r="AG24" s="65"/>
      <c r="AH24" s="65"/>
      <c r="AI24" s="65"/>
      <c r="AJ24" s="65"/>
      <c r="AK24" s="65"/>
      <c r="AL24" s="65"/>
      <c r="AM24" s="65"/>
      <c r="AN24" s="65"/>
      <c r="AO24" s="65"/>
      <c r="AP24" s="65"/>
      <c r="AQ24" s="65"/>
      <c r="AR24" s="65"/>
      <c r="AS24" s="65"/>
      <c r="AT24" s="65"/>
      <c r="AU24" s="65"/>
      <c r="AV24" s="65"/>
      <c r="AW24" s="65"/>
      <c r="AX24" s="65"/>
      <c r="AY24" s="65"/>
      <c r="AZ24" s="65"/>
      <c r="BA24" s="65"/>
    </row>
    <row r="25" customFormat="false" ht="23.85" hidden="false" customHeight="false" outlineLevel="0" collapsed="false">
      <c r="A25" s="87" t="s">
        <v>150</v>
      </c>
      <c r="B25" s="65" t="s">
        <v>151</v>
      </c>
      <c r="C25" s="65"/>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c r="AY25" s="65"/>
      <c r="AZ25" s="65"/>
      <c r="BA25" s="65"/>
    </row>
    <row r="26" customFormat="false" ht="23.85" hidden="false" customHeight="false" outlineLevel="0" collapsed="false">
      <c r="A26" s="87" t="s">
        <v>47</v>
      </c>
      <c r="B26" s="65" t="s">
        <v>152</v>
      </c>
      <c r="C26" s="65"/>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c r="AD26" s="65"/>
      <c r="AE26" s="65"/>
      <c r="AF26" s="65"/>
      <c r="AG26" s="65"/>
      <c r="AH26" s="65"/>
      <c r="AI26" s="65"/>
      <c r="AJ26" s="65"/>
      <c r="AK26" s="65"/>
      <c r="AL26" s="65"/>
      <c r="AM26" s="65"/>
      <c r="AN26" s="65"/>
      <c r="AO26" s="65"/>
      <c r="AP26" s="65"/>
      <c r="AQ26" s="65"/>
      <c r="AR26" s="65"/>
      <c r="AS26" s="65"/>
      <c r="AT26" s="65"/>
      <c r="AU26" s="65"/>
      <c r="AV26" s="65"/>
      <c r="AW26" s="65"/>
      <c r="AX26" s="65"/>
      <c r="AY26" s="65"/>
      <c r="AZ26" s="65"/>
      <c r="BA26" s="65"/>
    </row>
    <row r="27" customFormat="false" ht="14.25" hidden="false" customHeight="false" outlineLevel="0" collapsed="false">
      <c r="A27" s="87" t="s">
        <v>153</v>
      </c>
      <c r="B27" s="65" t="s">
        <v>154</v>
      </c>
      <c r="C27" s="65"/>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c r="AY27" s="65"/>
      <c r="AZ27" s="65"/>
      <c r="BA27" s="65"/>
    </row>
    <row r="28" customFormat="false" ht="14.25" hidden="false" customHeight="false" outlineLevel="0" collapsed="false">
      <c r="A28" s="87" t="s">
        <v>155</v>
      </c>
      <c r="B28" s="65" t="s">
        <v>156</v>
      </c>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row>
    <row r="29" customFormat="false" ht="14.25" hidden="false" customHeight="false" outlineLevel="0" collapsed="false">
      <c r="A29" s="87" t="s">
        <v>157</v>
      </c>
      <c r="B29" s="65" t="s">
        <v>158</v>
      </c>
      <c r="C29" s="65"/>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c r="AY29" s="65"/>
      <c r="AZ29" s="65"/>
      <c r="BA29" s="65"/>
    </row>
    <row r="30" s="87" customFormat="true" ht="23.85" hidden="false" customHeight="false" outlineLevel="0" collapsed="false">
      <c r="A30" s="87" t="s">
        <v>53</v>
      </c>
      <c r="B30" s="89" t="s">
        <v>50</v>
      </c>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89"/>
      <c r="AK30" s="89"/>
      <c r="AL30" s="89"/>
      <c r="AM30" s="89"/>
      <c r="AN30" s="89"/>
      <c r="AO30" s="89"/>
      <c r="AP30" s="89"/>
      <c r="AQ30" s="89"/>
      <c r="AR30" s="89"/>
      <c r="AS30" s="89"/>
      <c r="AT30" s="89"/>
      <c r="AU30" s="89"/>
      <c r="AV30" s="89"/>
      <c r="AW30" s="89"/>
      <c r="AX30" s="89"/>
      <c r="AY30" s="89"/>
      <c r="AZ30" s="89"/>
      <c r="BA30" s="89"/>
    </row>
    <row r="31" customFormat="false" ht="23.85" hidden="false" customHeight="false" outlineLevel="0" collapsed="false">
      <c r="A31" s="87" t="s">
        <v>159</v>
      </c>
      <c r="B31" s="65"/>
      <c r="C31" s="65"/>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c r="AG31" s="65"/>
      <c r="AH31" s="65"/>
      <c r="AI31" s="65"/>
      <c r="AJ31" s="65"/>
      <c r="AK31" s="65"/>
      <c r="AL31" s="65"/>
      <c r="AM31" s="65"/>
      <c r="AN31" s="65"/>
      <c r="AO31" s="65"/>
      <c r="AP31" s="65"/>
      <c r="AQ31" s="65"/>
      <c r="AR31" s="65"/>
      <c r="AS31" s="65"/>
      <c r="AT31" s="65"/>
      <c r="AU31" s="65"/>
      <c r="AV31" s="65"/>
      <c r="AW31" s="65"/>
      <c r="AX31" s="65"/>
      <c r="AY31" s="65"/>
      <c r="AZ31" s="65"/>
      <c r="BA31" s="65"/>
    </row>
    <row r="32" customFormat="false" ht="14.25" hidden="false" customHeight="false" outlineLevel="0" collapsed="false">
      <c r="B32" s="65"/>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c r="AG32" s="65"/>
      <c r="AH32" s="65"/>
      <c r="AI32" s="65"/>
      <c r="AJ32" s="65"/>
      <c r="AK32" s="65"/>
      <c r="AL32" s="65"/>
      <c r="AM32" s="65"/>
      <c r="AN32" s="65"/>
      <c r="AO32" s="65"/>
      <c r="AP32" s="65"/>
      <c r="AQ32" s="65"/>
      <c r="AR32" s="65"/>
      <c r="AS32" s="65"/>
      <c r="AT32" s="65"/>
      <c r="AU32" s="65"/>
      <c r="AV32" s="65"/>
      <c r="AW32" s="65"/>
      <c r="AX32" s="65"/>
      <c r="AY32" s="65"/>
      <c r="AZ32" s="65"/>
      <c r="BA32" s="65"/>
    </row>
    <row r="33" customFormat="false" ht="14.25" hidden="false" customHeight="false" outlineLevel="0" collapsed="false">
      <c r="B33" s="65"/>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c r="AG33" s="65"/>
      <c r="AH33" s="65"/>
      <c r="AI33" s="65"/>
      <c r="AJ33" s="65"/>
      <c r="AK33" s="65"/>
      <c r="AL33" s="65"/>
      <c r="AM33" s="65"/>
      <c r="AN33" s="65"/>
      <c r="AO33" s="65"/>
      <c r="AP33" s="65"/>
      <c r="AQ33" s="65"/>
      <c r="AR33" s="65"/>
      <c r="AS33" s="65"/>
      <c r="AT33" s="65"/>
      <c r="AU33" s="65"/>
      <c r="AV33" s="65"/>
      <c r="AW33" s="65"/>
      <c r="AX33" s="65"/>
      <c r="AY33" s="65"/>
      <c r="AZ33" s="65"/>
      <c r="BA33" s="65"/>
    </row>
    <row r="34" customFormat="false" ht="14.25" hidden="false" customHeight="false" outlineLevel="0" collapsed="false">
      <c r="B34" s="65"/>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c r="AY34" s="65"/>
      <c r="AZ34" s="65"/>
      <c r="BA34" s="65"/>
    </row>
    <row r="35" customFormat="false" ht="14.25" hidden="false" customHeight="false" outlineLevel="0" collapsed="false">
      <c r="B35" s="65"/>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row>
    <row r="36" customFormat="false" ht="14.25" hidden="false" customHeight="false" outlineLevel="0" collapsed="false">
      <c r="B36" s="65"/>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row>
    <row r="37" customFormat="false" ht="14.25" hidden="false" customHeight="false" outlineLevel="0" collapsed="false">
      <c r="B37" s="65"/>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65"/>
      <c r="AU37" s="65"/>
      <c r="AV37" s="65"/>
      <c r="AW37" s="65"/>
      <c r="AX37" s="65"/>
      <c r="AY37" s="65"/>
      <c r="AZ37" s="65"/>
      <c r="BA37" s="65"/>
    </row>
    <row r="38" customFormat="false" ht="14.25" hidden="false" customHeight="false" outlineLevel="0" collapsed="false">
      <c r="B38" s="65"/>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AM38" s="65"/>
      <c r="AN38" s="65"/>
      <c r="AO38" s="65"/>
      <c r="AP38" s="65"/>
      <c r="AQ38" s="65"/>
      <c r="AR38" s="65"/>
      <c r="AS38" s="65"/>
      <c r="AT38" s="65"/>
      <c r="AU38" s="65"/>
      <c r="AV38" s="65"/>
      <c r="AW38" s="65"/>
      <c r="AX38" s="65"/>
      <c r="AY38" s="65"/>
      <c r="AZ38" s="65"/>
      <c r="BA38" s="65"/>
    </row>
    <row r="39" customFormat="false" ht="14.25" hidden="false" customHeight="false" outlineLevel="0" collapsed="false">
      <c r="B39" s="65"/>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5"/>
      <c r="AV39" s="65"/>
      <c r="AW39" s="65"/>
      <c r="AX39" s="65"/>
      <c r="AY39" s="65"/>
      <c r="AZ39" s="65"/>
      <c r="BA39" s="65"/>
    </row>
    <row r="40" customFormat="false" ht="14.25" hidden="false" customHeight="false" outlineLevel="0" collapsed="false">
      <c r="B40" s="65"/>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AM40" s="65"/>
      <c r="AN40" s="65"/>
      <c r="AO40" s="65"/>
      <c r="AP40" s="65"/>
      <c r="AQ40" s="65"/>
      <c r="AR40" s="65"/>
      <c r="AS40" s="65"/>
      <c r="AT40" s="65"/>
      <c r="AU40" s="65"/>
      <c r="AV40" s="65"/>
      <c r="AW40" s="65"/>
      <c r="AX40" s="65"/>
      <c r="AY40" s="65"/>
      <c r="AZ40" s="65"/>
      <c r="BA40" s="65"/>
    </row>
    <row r="41" customFormat="false" ht="14.25" hidden="false" customHeight="false" outlineLevel="0" collapsed="false">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row>
    <row r="42" customFormat="false" ht="14.25" hidden="false" customHeight="false" outlineLevel="0" collapsed="false">
      <c r="B42" s="65"/>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row>
    <row r="43" customFormat="false" ht="14.25" hidden="false" customHeight="false" outlineLevel="0" collapsed="false">
      <c r="B43" s="65"/>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row>
    <row r="44" customFormat="false" ht="14.25" hidden="false" customHeight="false" outlineLevel="0" collapsed="false">
      <c r="B44" s="65"/>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65"/>
      <c r="AQ44" s="65"/>
      <c r="AR44" s="65"/>
      <c r="AS44" s="65"/>
      <c r="AT44" s="65"/>
      <c r="AU44" s="65"/>
      <c r="AV44" s="65"/>
      <c r="AW44" s="65"/>
      <c r="AX44" s="65"/>
      <c r="AY44" s="65"/>
      <c r="AZ44" s="65"/>
      <c r="BA44" s="65"/>
    </row>
    <row r="45" customFormat="false" ht="14.25" hidden="false" customHeight="false" outlineLevel="0" collapsed="false">
      <c r="B45" s="65"/>
      <c r="C45" s="65"/>
      <c r="D45" s="65"/>
      <c r="E45" s="65"/>
      <c r="F45" s="65"/>
      <c r="G45" s="65"/>
      <c r="H45" s="65"/>
      <c r="I45" s="65"/>
      <c r="J45" s="65"/>
      <c r="K45" s="65"/>
      <c r="L45" s="65"/>
      <c r="M45" s="65"/>
      <c r="N45" s="65"/>
      <c r="O45" s="65"/>
      <c r="P45" s="65"/>
      <c r="Q45" s="65"/>
      <c r="R45" s="65"/>
      <c r="S45" s="65"/>
      <c r="T45" s="65"/>
      <c r="U45" s="65"/>
      <c r="V45" s="65"/>
      <c r="W45" s="65"/>
      <c r="X45" s="65"/>
      <c r="Y45" s="65"/>
      <c r="Z45" s="65"/>
      <c r="AA45" s="65"/>
      <c r="AB45" s="65"/>
      <c r="AC45" s="65"/>
      <c r="AD45" s="65"/>
      <c r="AE45" s="65"/>
      <c r="AF45" s="65"/>
      <c r="AG45" s="65"/>
      <c r="AH45" s="65"/>
      <c r="AI45" s="65"/>
      <c r="AJ45" s="65"/>
      <c r="AK45" s="65"/>
      <c r="AL45" s="65"/>
      <c r="AM45" s="65"/>
      <c r="AN45" s="65"/>
      <c r="AO45" s="65"/>
      <c r="AP45" s="65"/>
      <c r="AQ45" s="65"/>
      <c r="AR45" s="65"/>
      <c r="AS45" s="65"/>
      <c r="AT45" s="65"/>
      <c r="AU45" s="65"/>
      <c r="AV45" s="65"/>
      <c r="AW45" s="65"/>
      <c r="AX45" s="65"/>
      <c r="AY45" s="65"/>
      <c r="AZ45" s="65"/>
      <c r="BA45" s="65"/>
    </row>
    <row r="46" customFormat="false" ht="14.25" hidden="false" customHeight="false" outlineLevel="0" collapsed="false">
      <c r="B46" s="65"/>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R46" s="65"/>
      <c r="AS46" s="65"/>
      <c r="AT46" s="65"/>
      <c r="AU46" s="65"/>
      <c r="AV46" s="65"/>
      <c r="AW46" s="65"/>
      <c r="AX46" s="65"/>
      <c r="AY46" s="65"/>
      <c r="AZ46" s="65"/>
      <c r="BA46" s="65"/>
    </row>
    <row r="47" customFormat="false" ht="14.25" hidden="false" customHeight="false" outlineLevel="0" collapsed="false">
      <c r="B47" s="65"/>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c r="AY47" s="65"/>
      <c r="AZ47" s="65"/>
      <c r="BA47" s="65"/>
    </row>
    <row r="48" customFormat="false" ht="14.25" hidden="false" customHeight="false" outlineLevel="0" collapsed="false">
      <c r="B48" s="65"/>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c r="AC48" s="65"/>
      <c r="AD48" s="65"/>
      <c r="AE48" s="65"/>
      <c r="AF48" s="65"/>
      <c r="AG48" s="65"/>
      <c r="AH48" s="65"/>
      <c r="AI48" s="65"/>
      <c r="AJ48" s="65"/>
      <c r="AK48" s="65"/>
      <c r="AL48" s="65"/>
      <c r="AM48" s="65"/>
      <c r="AN48" s="65"/>
      <c r="AO48" s="65"/>
      <c r="AP48" s="65"/>
      <c r="AQ48" s="65"/>
      <c r="AR48" s="65"/>
      <c r="AS48" s="65"/>
      <c r="AT48" s="65"/>
      <c r="AU48" s="65"/>
      <c r="AV48" s="65"/>
      <c r="AW48" s="65"/>
      <c r="AX48" s="65"/>
      <c r="AY48" s="65"/>
      <c r="AZ48" s="65"/>
      <c r="BA48" s="65"/>
    </row>
    <row r="49" customFormat="false" ht="14.25" hidden="false" customHeight="false" outlineLevel="0" collapsed="false">
      <c r="B49" s="65"/>
      <c r="C49" s="65"/>
      <c r="D49" s="65"/>
      <c r="E49" s="65"/>
      <c r="F49" s="65"/>
      <c r="G49" s="65"/>
      <c r="H49" s="65"/>
      <c r="I49" s="65"/>
      <c r="J49" s="65"/>
      <c r="K49" s="65"/>
      <c r="L49" s="65"/>
      <c r="M49" s="65"/>
      <c r="N49" s="65"/>
      <c r="O49" s="65"/>
      <c r="P49" s="65"/>
      <c r="Q49" s="65"/>
      <c r="R49" s="65"/>
      <c r="S49" s="65"/>
      <c r="T49" s="65"/>
      <c r="U49" s="65"/>
      <c r="V49" s="65"/>
      <c r="W49" s="65"/>
      <c r="X49" s="65"/>
      <c r="Y49" s="65"/>
      <c r="Z49" s="65"/>
      <c r="AA49" s="65"/>
      <c r="AB49" s="65"/>
      <c r="AC49" s="65"/>
      <c r="AD49" s="65"/>
      <c r="AE49" s="65"/>
      <c r="AF49" s="65"/>
      <c r="AG49" s="65"/>
      <c r="AH49" s="65"/>
      <c r="AI49" s="65"/>
      <c r="AJ49" s="65"/>
      <c r="AK49" s="65"/>
      <c r="AL49" s="65"/>
      <c r="AM49" s="65"/>
      <c r="AN49" s="65"/>
      <c r="AO49" s="65"/>
      <c r="AP49" s="65"/>
      <c r="AQ49" s="65"/>
      <c r="AR49" s="65"/>
      <c r="AS49" s="65"/>
      <c r="AT49" s="65"/>
      <c r="AU49" s="65"/>
      <c r="AV49" s="65"/>
      <c r="AW49" s="65"/>
      <c r="AX49" s="65"/>
      <c r="AY49" s="65"/>
      <c r="AZ49" s="65"/>
      <c r="BA49" s="65"/>
    </row>
    <row r="50" customFormat="false" ht="14.25" hidden="false" customHeight="false" outlineLevel="0" collapsed="false">
      <c r="B50" s="65"/>
      <c r="C50" s="65"/>
      <c r="D50" s="65"/>
      <c r="E50" s="65"/>
      <c r="F50" s="65"/>
      <c r="G50" s="65"/>
      <c r="H50" s="65"/>
      <c r="I50" s="65"/>
      <c r="J50" s="65"/>
      <c r="K50" s="65"/>
      <c r="L50" s="65"/>
      <c r="M50" s="65"/>
      <c r="N50" s="65"/>
      <c r="O50" s="65"/>
      <c r="P50" s="65"/>
      <c r="Q50" s="65"/>
      <c r="R50" s="65"/>
      <c r="S50" s="65"/>
      <c r="T50" s="65"/>
      <c r="U50" s="65"/>
      <c r="V50" s="65"/>
      <c r="W50" s="65"/>
      <c r="X50" s="65"/>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row>
    <row r="51" customFormat="false" ht="14.25" hidden="false" customHeight="false" outlineLevel="0" collapsed="false">
      <c r="B51" s="65"/>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5"/>
      <c r="AZ51" s="65"/>
      <c r="BA51" s="65"/>
    </row>
    <row r="52" customFormat="false" ht="14.25" hidden="false" customHeight="false" outlineLevel="0" collapsed="false">
      <c r="B52" s="65"/>
      <c r="C52" s="65"/>
      <c r="D52" s="65"/>
      <c r="E52" s="65"/>
      <c r="F52" s="65"/>
      <c r="G52" s="65"/>
      <c r="H52" s="65"/>
      <c r="I52" s="65"/>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65"/>
      <c r="AL52" s="65"/>
      <c r="AM52" s="65"/>
      <c r="AN52" s="65"/>
      <c r="AO52" s="65"/>
      <c r="AP52" s="65"/>
      <c r="AQ52" s="65"/>
      <c r="AR52" s="65"/>
      <c r="AS52" s="65"/>
      <c r="AT52" s="65"/>
      <c r="AU52" s="65"/>
      <c r="AV52" s="65"/>
      <c r="AW52" s="65"/>
      <c r="AX52" s="65"/>
      <c r="AY52" s="65"/>
      <c r="AZ52" s="65"/>
      <c r="BA52" s="65"/>
    </row>
    <row r="53" customFormat="false" ht="14.25" hidden="false" customHeight="false" outlineLevel="0" collapsed="false">
      <c r="B53" s="65"/>
      <c r="C53" s="65"/>
      <c r="D53" s="65"/>
      <c r="E53" s="65"/>
      <c r="F53" s="65"/>
      <c r="G53" s="65"/>
      <c r="H53" s="65"/>
      <c r="I53" s="65"/>
      <c r="J53" s="65"/>
      <c r="K53" s="65"/>
      <c r="L53" s="65"/>
      <c r="M53" s="65"/>
      <c r="N53" s="65"/>
      <c r="O53" s="65"/>
      <c r="P53" s="65"/>
      <c r="Q53" s="65"/>
      <c r="R53" s="65"/>
      <c r="S53" s="65"/>
      <c r="T53" s="65"/>
      <c r="U53" s="65"/>
      <c r="V53" s="65"/>
      <c r="W53" s="65"/>
      <c r="X53" s="65"/>
      <c r="Y53" s="65"/>
      <c r="Z53" s="65"/>
      <c r="AA53" s="65"/>
      <c r="AB53" s="65"/>
      <c r="AC53" s="65"/>
      <c r="AD53" s="65"/>
      <c r="AE53" s="65"/>
      <c r="AF53" s="65"/>
      <c r="AG53" s="65"/>
      <c r="AH53" s="65"/>
      <c r="AI53" s="65"/>
      <c r="AJ53" s="65"/>
      <c r="AK53" s="65"/>
      <c r="AL53" s="65"/>
      <c r="AM53" s="65"/>
      <c r="AN53" s="65"/>
      <c r="AO53" s="65"/>
      <c r="AP53" s="65"/>
      <c r="AQ53" s="65"/>
      <c r="AR53" s="65"/>
      <c r="AS53" s="65"/>
      <c r="AT53" s="65"/>
      <c r="AU53" s="65"/>
      <c r="AV53" s="65"/>
      <c r="AW53" s="65"/>
      <c r="AX53" s="65"/>
      <c r="AY53" s="65"/>
      <c r="AZ53" s="65"/>
      <c r="BA53" s="65"/>
    </row>
    <row r="54" customFormat="false" ht="14.25" hidden="false" customHeight="false" outlineLevel="0" collapsed="false">
      <c r="B54" s="65"/>
      <c r="C54" s="65"/>
      <c r="D54" s="65"/>
      <c r="E54" s="65"/>
      <c r="F54" s="65"/>
      <c r="G54" s="65"/>
      <c r="H54" s="65"/>
      <c r="I54" s="65"/>
      <c r="J54" s="65"/>
      <c r="K54" s="65"/>
      <c r="L54" s="65"/>
      <c r="M54" s="65"/>
      <c r="N54" s="65"/>
      <c r="O54" s="65"/>
      <c r="P54" s="65"/>
      <c r="Q54" s="65"/>
      <c r="R54" s="65"/>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5"/>
      <c r="AU54" s="65"/>
      <c r="AV54" s="65"/>
      <c r="AW54" s="65"/>
      <c r="AX54" s="65"/>
      <c r="AY54" s="65"/>
      <c r="AZ54" s="65"/>
      <c r="BA54" s="65"/>
    </row>
    <row r="55" customFormat="false" ht="14.25" hidden="false" customHeight="false" outlineLevel="0" collapsed="false">
      <c r="B55" s="65"/>
      <c r="C55" s="65"/>
      <c r="D55" s="65"/>
      <c r="E55" s="65"/>
      <c r="F55" s="65"/>
      <c r="G55" s="65"/>
      <c r="H55" s="65"/>
      <c r="I55" s="65"/>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row>
    <row r="56" customFormat="false" ht="14.25" hidden="false" customHeight="false" outlineLevel="0" collapsed="false">
      <c r="B56" s="65"/>
      <c r="C56" s="65"/>
      <c r="D56" s="65"/>
      <c r="E56" s="65"/>
      <c r="F56" s="65"/>
      <c r="G56" s="65"/>
      <c r="H56" s="65"/>
      <c r="I56" s="65"/>
      <c r="J56" s="65"/>
      <c r="K56" s="65"/>
      <c r="L56" s="65"/>
      <c r="M56" s="65"/>
      <c r="N56" s="65"/>
      <c r="O56" s="65"/>
      <c r="P56" s="65"/>
      <c r="Q56" s="65"/>
      <c r="R56" s="65"/>
      <c r="S56" s="65"/>
      <c r="T56" s="65"/>
      <c r="U56" s="65"/>
      <c r="V56" s="65"/>
      <c r="W56" s="65"/>
      <c r="X56" s="65"/>
      <c r="Y56" s="65"/>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row>
    <row r="57" customFormat="false" ht="14.25" hidden="false" customHeight="false" outlineLevel="0" collapsed="false">
      <c r="B57" s="65"/>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5"/>
      <c r="AZ57" s="65"/>
      <c r="BA57" s="65"/>
    </row>
    <row r="58" customFormat="false" ht="14.25" hidden="false" customHeight="false" outlineLevel="0" collapsed="false">
      <c r="B58" s="65"/>
      <c r="C58" s="65"/>
      <c r="D58" s="65"/>
      <c r="E58" s="65"/>
      <c r="F58" s="65"/>
      <c r="G58" s="65"/>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row>
    <row r="59" customFormat="false" ht="14.25" hidden="false" customHeight="false" outlineLevel="0" collapsed="false">
      <c r="B59" s="65"/>
      <c r="C59" s="65"/>
      <c r="D59" s="65"/>
      <c r="E59" s="65"/>
      <c r="F59" s="65"/>
      <c r="G59" s="65"/>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row>
    <row r="60" customFormat="false" ht="14.25" hidden="false" customHeight="false" outlineLevel="0" collapsed="false">
      <c r="B60" s="65"/>
      <c r="C60" s="65"/>
      <c r="D60" s="65"/>
      <c r="E60" s="65"/>
      <c r="F60" s="65"/>
      <c r="G60" s="65"/>
      <c r="H60" s="65"/>
      <c r="I60" s="65"/>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row>
    <row r="61" customFormat="false" ht="14.25" hidden="false" customHeight="false" outlineLevel="0" collapsed="false">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row>
    <row r="62" customFormat="false" ht="14.25" hidden="false" customHeight="false" outlineLevel="0" collapsed="false">
      <c r="B62" s="65"/>
      <c r="C62" s="65"/>
      <c r="D62" s="65"/>
      <c r="E62" s="65"/>
      <c r="F62" s="65"/>
      <c r="G62" s="65"/>
      <c r="H62" s="65"/>
      <c r="I62" s="65"/>
      <c r="J62" s="65"/>
      <c r="K62" s="65"/>
      <c r="L62" s="65"/>
      <c r="M62" s="65"/>
      <c r="N62" s="65"/>
      <c r="O62" s="65"/>
      <c r="P62" s="65"/>
      <c r="Q62" s="65"/>
      <c r="R62" s="65"/>
      <c r="S62" s="65"/>
      <c r="T62" s="65"/>
      <c r="U62" s="65"/>
      <c r="V62" s="65"/>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row>
    <row r="63" customFormat="false" ht="14.25" hidden="false" customHeight="false" outlineLevel="0" collapsed="false">
      <c r="B63" s="65"/>
      <c r="C63" s="65"/>
      <c r="D63" s="65"/>
      <c r="E63" s="65"/>
      <c r="F63" s="65"/>
      <c r="G63" s="65"/>
      <c r="H63" s="65"/>
      <c r="I63" s="65"/>
      <c r="J63" s="65"/>
      <c r="K63" s="65"/>
      <c r="L63" s="65"/>
      <c r="M63" s="65"/>
      <c r="N63" s="65"/>
      <c r="O63" s="65"/>
      <c r="P63" s="65"/>
      <c r="Q63" s="65"/>
      <c r="R63" s="65"/>
      <c r="S63" s="65"/>
      <c r="T63" s="65"/>
      <c r="U63" s="65"/>
      <c r="V63" s="65"/>
      <c r="W63" s="65"/>
      <c r="X63" s="65"/>
      <c r="Y63" s="65"/>
      <c r="Z63" s="65"/>
      <c r="AA63" s="65"/>
      <c r="AB63" s="65"/>
      <c r="AC63" s="65"/>
      <c r="AD63" s="65"/>
      <c r="AE63" s="65"/>
      <c r="AF63" s="65"/>
      <c r="AG63" s="65"/>
      <c r="AH63" s="65"/>
      <c r="AI63" s="65"/>
      <c r="AJ63" s="65"/>
      <c r="AK63" s="65"/>
      <c r="AL63" s="65"/>
      <c r="AM63" s="65"/>
      <c r="AN63" s="65"/>
      <c r="AO63" s="65"/>
      <c r="AP63" s="65"/>
      <c r="AQ63" s="65"/>
      <c r="AR63" s="65"/>
      <c r="AS63" s="65"/>
      <c r="AT63" s="65"/>
      <c r="AU63" s="65"/>
      <c r="AV63" s="65"/>
      <c r="AW63" s="65"/>
      <c r="AX63" s="65"/>
      <c r="AY63" s="65"/>
      <c r="AZ63" s="65"/>
      <c r="BA63" s="65"/>
    </row>
    <row r="64" customFormat="false" ht="14.25" hidden="false" customHeight="false" outlineLevel="0" collapsed="false">
      <c r="B64" s="65"/>
      <c r="C64" s="65"/>
      <c r="D64" s="65"/>
      <c r="E64" s="65"/>
      <c r="F64" s="65"/>
      <c r="G64" s="65"/>
      <c r="H64" s="65"/>
      <c r="I64" s="65"/>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row>
    <row r="65" customFormat="false" ht="14.25" hidden="false" customHeight="false" outlineLevel="0" collapsed="false">
      <c r="B65" s="65"/>
      <c r="C65" s="65"/>
      <c r="D65" s="65"/>
      <c r="E65" s="65"/>
      <c r="F65" s="65"/>
      <c r="G65" s="65"/>
      <c r="H65" s="65"/>
      <c r="I65" s="65"/>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row>
    <row r="66" customFormat="false" ht="14.25" hidden="false" customHeight="false" outlineLevel="0" collapsed="false">
      <c r="B66" s="65"/>
      <c r="C66" s="65"/>
      <c r="D66" s="65"/>
      <c r="E66" s="65"/>
      <c r="F66" s="65"/>
      <c r="G66" s="65"/>
      <c r="H66" s="65"/>
      <c r="I66" s="65"/>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row>
    <row r="67" customFormat="false" ht="14.25" hidden="false" customHeight="false" outlineLevel="0" collapsed="false">
      <c r="B67" s="65"/>
      <c r="C67" s="65"/>
      <c r="D67" s="65"/>
      <c r="E67" s="65"/>
      <c r="F67" s="65"/>
      <c r="G67" s="65"/>
      <c r="H67" s="65"/>
      <c r="I67" s="65"/>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row>
    <row r="68" customFormat="false" ht="14.25" hidden="false" customHeight="false" outlineLevel="0" collapsed="false">
      <c r="B68" s="65"/>
      <c r="C68" s="65"/>
      <c r="D68" s="65"/>
      <c r="E68" s="65"/>
      <c r="F68" s="65"/>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row>
    <row r="69" customFormat="false" ht="14.25" hidden="false" customHeight="false" outlineLevel="0" collapsed="false">
      <c r="B69" s="65"/>
      <c r="C69" s="65"/>
      <c r="D69" s="65"/>
      <c r="E69" s="65"/>
      <c r="F69" s="65"/>
      <c r="G69" s="65"/>
      <c r="H69" s="65"/>
      <c r="I69" s="65"/>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row>
    <row r="70" customFormat="false" ht="14.25" hidden="false" customHeight="false" outlineLevel="0" collapsed="false">
      <c r="B70" s="65"/>
      <c r="C70" s="65"/>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row>
    <row r="71" customFormat="false" ht="14.25" hidden="false" customHeight="false" outlineLevel="0" collapsed="false">
      <c r="B71" s="65"/>
      <c r="C71" s="65"/>
      <c r="D71" s="65"/>
      <c r="E71" s="65"/>
      <c r="F71" s="65"/>
      <c r="G71" s="65"/>
      <c r="H71" s="65"/>
      <c r="I71" s="65"/>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row>
    <row r="72" customFormat="false" ht="14.25" hidden="false" customHeight="false" outlineLevel="0" collapsed="false">
      <c r="B72" s="65"/>
      <c r="C72" s="65"/>
      <c r="D72" s="65"/>
      <c r="E72" s="65"/>
      <c r="F72" s="65"/>
      <c r="G72" s="65"/>
      <c r="H72" s="65"/>
      <c r="I72" s="65"/>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row>
    <row r="73" customFormat="false" ht="14.25" hidden="false" customHeight="false" outlineLevel="0" collapsed="false">
      <c r="B73" s="65"/>
      <c r="C73" s="65"/>
      <c r="D73" s="65"/>
      <c r="E73" s="65"/>
      <c r="F73" s="65"/>
      <c r="G73" s="65"/>
      <c r="H73" s="65"/>
      <c r="I73" s="65"/>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row>
    <row r="74" customFormat="false" ht="14.25" hidden="false" customHeight="false" outlineLevel="0" collapsed="false">
      <c r="B74" s="65"/>
      <c r="C74" s="65"/>
      <c r="D74" s="65"/>
      <c r="E74" s="65"/>
      <c r="F74" s="65"/>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row>
    <row r="75" customFormat="false" ht="14.25" hidden="false" customHeight="false" outlineLevel="0" collapsed="false">
      <c r="B75" s="65"/>
      <c r="C75" s="65"/>
      <c r="D75" s="65"/>
      <c r="E75" s="65"/>
      <c r="F75" s="65"/>
      <c r="G75" s="65"/>
      <c r="H75" s="65"/>
      <c r="I75" s="65"/>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row>
    <row r="76" customFormat="false" ht="14.25" hidden="false" customHeight="false" outlineLevel="0" collapsed="false">
      <c r="B76" s="65"/>
      <c r="C76" s="65"/>
      <c r="D76" s="65"/>
      <c r="E76" s="65"/>
      <c r="F76" s="65"/>
      <c r="G76" s="65"/>
      <c r="H76" s="65"/>
      <c r="I76" s="65"/>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row>
    <row r="77" customFormat="false" ht="14.25" hidden="false" customHeight="false" outlineLevel="0" collapsed="false">
      <c r="B77" s="65"/>
      <c r="C77" s="65"/>
      <c r="D77" s="65"/>
      <c r="E77" s="65"/>
      <c r="F77" s="65"/>
      <c r="G77" s="65"/>
      <c r="H77" s="65"/>
      <c r="I77" s="65"/>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row>
    <row r="78" customFormat="false" ht="14.25" hidden="false" customHeight="false" outlineLevel="0" collapsed="false">
      <c r="B78" s="65"/>
      <c r="C78" s="65"/>
      <c r="D78" s="65"/>
      <c r="E78" s="65"/>
      <c r="F78" s="65"/>
      <c r="G78" s="65"/>
      <c r="H78" s="65"/>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row>
    <row r="79" customFormat="false" ht="14.25" hidden="false" customHeight="false" outlineLevel="0" collapsed="false">
      <c r="B79" s="65"/>
      <c r="C79" s="65"/>
      <c r="D79" s="65"/>
      <c r="E79" s="65"/>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row>
    <row r="80" customFormat="false" ht="14.25" hidden="false" customHeight="false" outlineLevel="0" collapsed="false">
      <c r="B80" s="65"/>
      <c r="C80" s="65"/>
      <c r="D80" s="65"/>
      <c r="E80" s="65"/>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row>
    <row r="81" customFormat="false" ht="14.25" hidden="false" customHeight="false" outlineLevel="0" collapsed="false">
      <c r="B81" s="65"/>
      <c r="C81" s="65"/>
      <c r="D81" s="65"/>
      <c r="E81" s="65"/>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row>
    <row r="82" customFormat="false" ht="14.25" hidden="false" customHeight="false" outlineLevel="0" collapsed="false">
      <c r="B82" s="65"/>
      <c r="C82" s="65"/>
      <c r="D82" s="65"/>
      <c r="E82" s="65"/>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row>
    <row r="83" customFormat="false" ht="14.25" hidden="false" customHeight="false" outlineLevel="0" collapsed="false">
      <c r="B83" s="65"/>
      <c r="C83" s="65"/>
      <c r="D83" s="65"/>
      <c r="E83" s="65"/>
      <c r="F83" s="65"/>
      <c r="G83" s="65"/>
      <c r="H83" s="65"/>
      <c r="I83" s="65"/>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row>
    <row r="84" customFormat="false" ht="14.25" hidden="false" customHeight="false" outlineLevel="0" collapsed="false">
      <c r="B84" s="65"/>
      <c r="C84" s="65"/>
      <c r="D84" s="65"/>
      <c r="E84" s="65"/>
      <c r="F84" s="65"/>
      <c r="G84" s="65"/>
      <c r="H84" s="65"/>
      <c r="I84" s="65"/>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row>
    <row r="85" customFormat="false" ht="14.25" hidden="false" customHeight="false" outlineLevel="0" collapsed="false">
      <c r="B85" s="65"/>
      <c r="C85" s="65"/>
      <c r="D85" s="65"/>
      <c r="E85" s="65"/>
      <c r="F85" s="65"/>
      <c r="G85" s="65"/>
      <c r="H85" s="65"/>
      <c r="I85" s="65"/>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row>
    <row r="86" customFormat="false" ht="14.25" hidden="false" customHeight="false" outlineLevel="0" collapsed="false">
      <c r="B86" s="65"/>
      <c r="C86" s="65"/>
      <c r="D86" s="65"/>
      <c r="E86" s="65"/>
      <c r="F86" s="65"/>
      <c r="G86" s="65"/>
      <c r="H86" s="65"/>
      <c r="I86" s="65"/>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row>
    <row r="87" customFormat="false" ht="14.25" hidden="false" customHeight="false" outlineLevel="0" collapsed="false">
      <c r="B87" s="65"/>
      <c r="C87" s="65"/>
      <c r="D87" s="65"/>
      <c r="E87" s="65"/>
      <c r="F87" s="65"/>
      <c r="G87" s="65"/>
      <c r="H87" s="65"/>
      <c r="I87" s="65"/>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row>
    <row r="88" customFormat="false" ht="14.25" hidden="false" customHeight="false" outlineLevel="0" collapsed="false">
      <c r="B88" s="65"/>
      <c r="C88" s="65"/>
      <c r="D88" s="65"/>
      <c r="E88" s="65"/>
      <c r="F88" s="65"/>
      <c r="G88" s="65"/>
      <c r="H88" s="65"/>
      <c r="I88" s="65"/>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row>
    <row r="89" customFormat="false" ht="14.25" hidden="false" customHeight="false" outlineLevel="0" collapsed="false">
      <c r="B89" s="65"/>
      <c r="C89" s="65"/>
      <c r="D89" s="65"/>
      <c r="E89" s="65"/>
      <c r="F89" s="65"/>
      <c r="G89" s="65"/>
      <c r="H89" s="65"/>
      <c r="I89" s="65"/>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row>
    <row r="90" customFormat="false" ht="14.25" hidden="false" customHeight="false" outlineLevel="0" collapsed="false">
      <c r="B90" s="65"/>
      <c r="C90" s="65"/>
      <c r="D90" s="65"/>
      <c r="E90" s="65"/>
      <c r="F90" s="65"/>
      <c r="G90" s="65"/>
      <c r="H90" s="65"/>
      <c r="I90" s="65"/>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row>
    <row r="91" customFormat="false" ht="14.25" hidden="false" customHeight="false" outlineLevel="0" collapsed="false">
      <c r="B91" s="65"/>
      <c r="C91" s="65"/>
      <c r="D91" s="65"/>
      <c r="E91" s="65"/>
      <c r="F91" s="65"/>
      <c r="G91" s="65"/>
      <c r="H91" s="65"/>
      <c r="I91" s="65"/>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row>
    <row r="92" customFormat="false" ht="14.25" hidden="false" customHeight="false" outlineLevel="0" collapsed="false">
      <c r="B92" s="65"/>
      <c r="C92" s="65"/>
      <c r="D92" s="65"/>
      <c r="E92" s="65"/>
      <c r="F92" s="65"/>
      <c r="G92" s="65"/>
      <c r="H92" s="65"/>
      <c r="I92" s="65"/>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row>
    <row r="93" customFormat="false" ht="14.25" hidden="false" customHeight="false" outlineLevel="0" collapsed="false">
      <c r="B93" s="65"/>
      <c r="C93" s="65"/>
      <c r="D93" s="65"/>
      <c r="E93" s="65"/>
      <c r="F93" s="65"/>
      <c r="G93" s="65"/>
      <c r="H93" s="65"/>
      <c r="I93" s="65"/>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row>
    <row r="94" customFormat="false" ht="14.25" hidden="false" customHeight="false" outlineLevel="0" collapsed="false">
      <c r="B94" s="65"/>
      <c r="C94" s="65"/>
      <c r="D94" s="65"/>
      <c r="E94" s="65"/>
      <c r="F94" s="65"/>
      <c r="G94" s="65"/>
      <c r="H94" s="65"/>
      <c r="I94" s="65"/>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row>
    <row r="95" customFormat="false" ht="14.25" hidden="false" customHeight="false" outlineLevel="0" collapsed="false">
      <c r="B95" s="65"/>
      <c r="C95" s="65"/>
      <c r="D95" s="65"/>
      <c r="E95" s="65"/>
      <c r="F95" s="65"/>
      <c r="G95" s="65"/>
      <c r="H95" s="65"/>
      <c r="I95" s="65"/>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row>
    <row r="96" customFormat="false" ht="14.25" hidden="false" customHeight="false" outlineLevel="0" collapsed="false">
      <c r="B96" s="65"/>
      <c r="C96" s="65"/>
      <c r="D96" s="65"/>
      <c r="E96" s="65"/>
      <c r="F96" s="65"/>
      <c r="G96" s="65"/>
      <c r="H96" s="65"/>
      <c r="I96" s="65"/>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row>
    <row r="97" customFormat="false" ht="14.25" hidden="false" customHeight="false" outlineLevel="0" collapsed="false">
      <c r="B97" s="65"/>
      <c r="C97" s="65"/>
      <c r="D97" s="65"/>
      <c r="E97" s="65"/>
      <c r="F97" s="65"/>
      <c r="G97" s="65"/>
      <c r="H97" s="65"/>
      <c r="I97" s="65"/>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row>
    <row r="98" customFormat="false" ht="14.25" hidden="false" customHeight="false" outlineLevel="0" collapsed="false">
      <c r="B98" s="65"/>
      <c r="C98" s="65"/>
      <c r="D98" s="65"/>
      <c r="E98" s="65"/>
      <c r="F98" s="65"/>
      <c r="G98" s="65"/>
      <c r="H98" s="65"/>
      <c r="I98" s="65"/>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row>
    <row r="99" customFormat="false" ht="14.25" hidden="false" customHeight="false" outlineLevel="0" collapsed="false">
      <c r="B99" s="65"/>
      <c r="C99" s="65"/>
      <c r="D99" s="65"/>
      <c r="E99" s="65"/>
      <c r="F99" s="65"/>
      <c r="G99" s="65"/>
      <c r="H99" s="65"/>
      <c r="I99" s="65"/>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row>
    <row r="100" customFormat="false" ht="14.25" hidden="false" customHeight="false" outlineLevel="0" collapsed="false">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row>
    <row r="101" customFormat="false" ht="14.25" hidden="false" customHeight="false" outlineLevel="0" collapsed="false">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row>
    <row r="102" customFormat="false" ht="14.25" hidden="false" customHeight="false" outlineLevel="0" collapsed="false">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row>
    <row r="103" customFormat="false" ht="14.25" hidden="false" customHeight="false" outlineLevel="0" collapsed="false">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row>
    <row r="104" customFormat="false" ht="14.25" hidden="false" customHeight="false" outlineLevel="0" collapsed="false">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row>
    <row r="105" customFormat="false" ht="14.25" hidden="false" customHeight="false" outlineLevel="0" collapsed="false">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row>
    <row r="106" customFormat="false" ht="14.25" hidden="false" customHeight="false" outlineLevel="0" collapsed="false">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row>
    <row r="107" customFormat="false" ht="14.25" hidden="false" customHeight="false" outlineLevel="0" collapsed="false">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row>
    <row r="108" customFormat="false" ht="14.25" hidden="false" customHeight="false" outlineLevel="0" collapsed="false">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row>
    <row r="109" customFormat="false" ht="14.25" hidden="false" customHeight="false" outlineLevel="0" collapsed="false">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row>
    <row r="110" customFormat="false" ht="14.25" hidden="false" customHeight="false" outlineLevel="0" collapsed="false">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row>
    <row r="111" customFormat="false" ht="14.25" hidden="false" customHeight="false" outlineLevel="0" collapsed="false">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row>
    <row r="112" customFormat="false" ht="14.25" hidden="false" customHeight="false" outlineLevel="0" collapsed="false">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row>
    <row r="113" customFormat="false" ht="14.25" hidden="false" customHeight="false" outlineLevel="0" collapsed="false">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row>
    <row r="114" customFormat="false" ht="14.25" hidden="false" customHeight="false" outlineLevel="0" collapsed="false">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row>
    <row r="115" customFormat="false" ht="14.25" hidden="false" customHeight="false" outlineLevel="0" collapsed="false">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row>
    <row r="116" customFormat="false" ht="14.25" hidden="false" customHeight="false" outlineLevel="0" collapsed="false">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row>
    <row r="117" customFormat="false" ht="14.25" hidden="false" customHeight="false" outlineLevel="0" collapsed="false">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row>
    <row r="118" customFormat="false" ht="14.25" hidden="false" customHeight="false" outlineLevel="0" collapsed="false">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row>
    <row r="119" customFormat="false" ht="14.25" hidden="false" customHeight="false" outlineLevel="0" collapsed="false">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row>
    <row r="120" customFormat="false" ht="14.25" hidden="false" customHeight="false" outlineLevel="0" collapsed="false">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row>
    <row r="121" customFormat="false" ht="14.25" hidden="false" customHeight="false" outlineLevel="0" collapsed="false">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row>
    <row r="122" customFormat="false" ht="14.25" hidden="false" customHeight="false" outlineLevel="0" collapsed="false">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row>
    <row r="123" customFormat="false" ht="14.25" hidden="false" customHeight="false" outlineLevel="0" collapsed="false">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row>
    <row r="124" customFormat="false" ht="14.25" hidden="false" customHeight="false" outlineLevel="0" collapsed="false">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row>
    <row r="125" customFormat="false" ht="14.25" hidden="false" customHeight="false" outlineLevel="0" collapsed="false">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row>
    <row r="126" customFormat="false" ht="14.25" hidden="false" customHeight="false" outlineLevel="0" collapsed="false">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row>
    <row r="127" customFormat="false" ht="14.25" hidden="false" customHeight="false" outlineLevel="0" collapsed="false">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row>
    <row r="128" customFormat="false" ht="14.25" hidden="false" customHeight="false" outlineLevel="0" collapsed="false">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row>
    <row r="129" customFormat="false" ht="14.25" hidden="false" customHeight="false" outlineLevel="0" collapsed="false">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row>
    <row r="130" customFormat="false" ht="14.25" hidden="false" customHeight="false" outlineLevel="0" collapsed="false">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row>
    <row r="131" customFormat="false" ht="14.25" hidden="false" customHeight="false" outlineLevel="0" collapsed="false">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row>
    <row r="132" customFormat="false" ht="14.25" hidden="false" customHeight="false" outlineLevel="0" collapsed="false">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row>
    <row r="133" customFormat="false" ht="14.25" hidden="false" customHeight="false" outlineLevel="0" collapsed="false">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row>
    <row r="134" customFormat="false" ht="14.25" hidden="false" customHeight="false" outlineLevel="0" collapsed="false">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row>
    <row r="135" customFormat="false" ht="14.25" hidden="false" customHeight="false" outlineLevel="0" collapsed="false">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row>
    <row r="136" customFormat="false" ht="14.25" hidden="false" customHeight="false" outlineLevel="0" collapsed="false">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row>
    <row r="137" customFormat="false" ht="14.25" hidden="false" customHeight="false" outlineLevel="0" collapsed="false">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row>
    <row r="138" customFormat="false" ht="14.25" hidden="false" customHeight="false" outlineLevel="0" collapsed="false">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row>
    <row r="139" customFormat="false" ht="14.25" hidden="false" customHeight="false" outlineLevel="0" collapsed="false">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row>
    <row r="140" customFormat="false" ht="14.25" hidden="false" customHeight="false" outlineLevel="0" collapsed="false">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row>
    <row r="141" customFormat="false" ht="14.25" hidden="false" customHeight="false" outlineLevel="0" collapsed="false">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row>
    <row r="142" customFormat="false" ht="14.25" hidden="false" customHeight="false" outlineLevel="0" collapsed="false">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row>
    <row r="143" customFormat="false" ht="14.25" hidden="false" customHeight="false" outlineLevel="0" collapsed="false">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row>
    <row r="144" customFormat="false" ht="14.25" hidden="false" customHeight="false" outlineLevel="0" collapsed="false">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row>
    <row r="145" customFormat="false" ht="14.25" hidden="false" customHeight="false" outlineLevel="0" collapsed="false">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row>
    <row r="146" customFormat="false" ht="14.25" hidden="false" customHeight="false" outlineLevel="0" collapsed="false">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row>
    <row r="147" customFormat="false" ht="14.25" hidden="false" customHeight="false" outlineLevel="0" collapsed="false">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row>
    <row r="148" customFormat="false" ht="14.25" hidden="false" customHeight="false" outlineLevel="0" collapsed="false">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row>
    <row r="149" customFormat="false" ht="14.25" hidden="false" customHeight="false" outlineLevel="0" collapsed="false">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row>
    <row r="150" customFormat="false" ht="14.25" hidden="false" customHeight="false" outlineLevel="0" collapsed="false">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row>
    <row r="151" customFormat="false" ht="14.25" hidden="false" customHeight="false" outlineLevel="0" collapsed="false">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row>
    <row r="152" customFormat="false" ht="14.25" hidden="false" customHeight="false" outlineLevel="0" collapsed="false">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row>
    <row r="153" customFormat="false" ht="14.25" hidden="false" customHeight="false" outlineLevel="0" collapsed="false">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row>
    <row r="154" customFormat="false" ht="14.25" hidden="false" customHeight="false" outlineLevel="0" collapsed="false">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row>
    <row r="155" customFormat="false" ht="14.25" hidden="false" customHeight="false" outlineLevel="0" collapsed="false">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row>
    <row r="156" customFormat="false" ht="14.25" hidden="false" customHeight="false" outlineLevel="0" collapsed="false">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row>
    <row r="157" customFormat="false" ht="14.25" hidden="false" customHeight="false" outlineLevel="0" collapsed="false">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row>
    <row r="158" customFormat="false" ht="14.25" hidden="false" customHeight="false" outlineLevel="0" collapsed="false">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row>
    <row r="159" customFormat="false" ht="14.25" hidden="false" customHeight="false" outlineLevel="0" collapsed="false">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row>
    <row r="160" customFormat="false" ht="14.25" hidden="false" customHeight="false" outlineLevel="0" collapsed="false">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row>
    <row r="161" customFormat="false" ht="14.25" hidden="false" customHeight="false" outlineLevel="0" collapsed="false">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row>
    <row r="162" customFormat="false" ht="14.25" hidden="false" customHeight="false" outlineLevel="0" collapsed="false">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row>
    <row r="163" customFormat="false" ht="14.25" hidden="false" customHeight="false" outlineLevel="0" collapsed="false">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row>
    <row r="164" customFormat="false" ht="14.25" hidden="false" customHeight="false" outlineLevel="0" collapsed="false">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row>
    <row r="165" customFormat="false" ht="14.25" hidden="false" customHeight="false" outlineLevel="0" collapsed="false">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row>
    <row r="166" customFormat="false" ht="14.25" hidden="false" customHeight="false" outlineLevel="0" collapsed="false">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row>
    <row r="167" customFormat="false" ht="14.25" hidden="false" customHeight="false" outlineLevel="0" collapsed="false">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row>
    <row r="168" customFormat="false" ht="14.25" hidden="false" customHeight="false" outlineLevel="0" collapsed="false">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row>
    <row r="169" customFormat="false" ht="14.25" hidden="false" customHeight="false" outlineLevel="0" collapsed="false">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row>
    <row r="170" customFormat="false" ht="14.25" hidden="false" customHeight="false" outlineLevel="0" collapsed="false">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row>
    <row r="171" customFormat="false" ht="14.25" hidden="false" customHeight="false" outlineLevel="0" collapsed="false">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row>
    <row r="172" customFormat="false" ht="14.25" hidden="false" customHeight="false" outlineLevel="0" collapsed="false">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row>
    <row r="173" customFormat="false" ht="14.25" hidden="false" customHeight="false" outlineLevel="0" collapsed="false">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row>
    <row r="174" customFormat="false" ht="14.25" hidden="false" customHeight="false" outlineLevel="0" collapsed="false">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row>
    <row r="175" customFormat="false" ht="14.25" hidden="false" customHeight="false" outlineLevel="0" collapsed="false">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row>
    <row r="176" customFormat="false" ht="14.25" hidden="false" customHeight="false" outlineLevel="0" collapsed="false">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row>
    <row r="177" customFormat="false" ht="14.25" hidden="false" customHeight="false" outlineLevel="0" collapsed="false">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row>
    <row r="178" customFormat="false" ht="14.25" hidden="false" customHeight="false" outlineLevel="0" collapsed="false">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row>
    <row r="179" customFormat="false" ht="14.25" hidden="false" customHeight="false" outlineLevel="0" collapsed="false">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row>
    <row r="180" customFormat="false" ht="14.25" hidden="false" customHeight="false" outlineLevel="0" collapsed="false">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row>
    <row r="181" customFormat="false" ht="14.25" hidden="false" customHeight="false" outlineLevel="0" collapsed="false">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row>
    <row r="182" customFormat="false" ht="14.25" hidden="false" customHeight="false" outlineLevel="0" collapsed="false">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row>
    <row r="183" customFormat="false" ht="14.25" hidden="false" customHeight="false" outlineLevel="0" collapsed="false">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row>
    <row r="184" customFormat="false" ht="14.25" hidden="false" customHeight="false" outlineLevel="0" collapsed="false">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row>
    <row r="185" customFormat="false" ht="14.25" hidden="false" customHeight="false" outlineLevel="0" collapsed="false">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row>
    <row r="186" customFormat="false" ht="14.25" hidden="false" customHeight="false" outlineLevel="0" collapsed="false">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row>
    <row r="187" customFormat="false" ht="14.25" hidden="false" customHeight="false" outlineLevel="0" collapsed="false">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row>
    <row r="188" customFormat="false" ht="14.25" hidden="false" customHeight="false" outlineLevel="0" collapsed="false">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row>
    <row r="189" customFormat="false" ht="14.25" hidden="false" customHeight="false" outlineLevel="0" collapsed="false">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row>
    <row r="190" customFormat="false" ht="14.25" hidden="false" customHeight="false" outlineLevel="0" collapsed="false">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row>
    <row r="191" customFormat="false" ht="14.25" hidden="false" customHeight="false" outlineLevel="0" collapsed="false">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row>
    <row r="192" customFormat="false" ht="14.25" hidden="false" customHeight="false" outlineLevel="0" collapsed="false">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row>
    <row r="193" customFormat="false" ht="14.25" hidden="false" customHeight="false" outlineLevel="0" collapsed="false">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row>
    <row r="194" customFormat="false" ht="14.25" hidden="false" customHeight="false" outlineLevel="0" collapsed="false">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row>
    <row r="195" customFormat="false" ht="14.25" hidden="false" customHeight="false" outlineLevel="0" collapsed="false">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row>
    <row r="196" customFormat="false" ht="14.25" hidden="false" customHeight="false" outlineLevel="0" collapsed="false">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row>
    <row r="197" customFormat="false" ht="14.25" hidden="false" customHeight="false" outlineLevel="0" collapsed="false">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row>
    <row r="198" customFormat="false" ht="14.25" hidden="false" customHeight="false" outlineLevel="0" collapsed="false">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row>
    <row r="199" customFormat="false" ht="14.25" hidden="false" customHeight="false" outlineLevel="0" collapsed="false">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row>
    <row r="200" customFormat="false" ht="14.25" hidden="false" customHeight="false" outlineLevel="0" collapsed="false">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row>
    <row r="201" customFormat="false" ht="14.25" hidden="false" customHeight="false" outlineLevel="0" collapsed="false">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row>
    <row r="202" customFormat="false" ht="14.25" hidden="false" customHeight="false" outlineLevel="0" collapsed="false">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row>
    <row r="203" customFormat="false" ht="14.25" hidden="false" customHeight="false" outlineLevel="0" collapsed="false">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row>
    <row r="204" customFormat="false" ht="14.25" hidden="false" customHeight="false" outlineLevel="0" collapsed="false">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row>
    <row r="205" customFormat="false" ht="14.25" hidden="false" customHeight="false" outlineLevel="0" collapsed="false">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row>
    <row r="206" customFormat="false" ht="14.25" hidden="false" customHeight="false" outlineLevel="0" collapsed="false">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row>
    <row r="207" customFormat="false" ht="14.25" hidden="false" customHeight="false" outlineLevel="0" collapsed="false">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row>
    <row r="208" customFormat="false" ht="14.25" hidden="false" customHeight="false" outlineLevel="0" collapsed="false">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row>
    <row r="209" customFormat="false" ht="14.25" hidden="false" customHeight="false" outlineLevel="0" collapsed="false">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row>
    <row r="210" customFormat="false" ht="14.25" hidden="false" customHeight="false" outlineLevel="0" collapsed="false">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row>
    <row r="211" customFormat="false" ht="14.25" hidden="false" customHeight="false" outlineLevel="0" collapsed="false">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row>
    <row r="212" customFormat="false" ht="14.25" hidden="false" customHeight="false" outlineLevel="0" collapsed="false">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row>
    <row r="213" customFormat="false" ht="14.25" hidden="false" customHeight="false" outlineLevel="0" collapsed="false">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row>
    <row r="214" customFormat="false" ht="14.25" hidden="false" customHeight="false" outlineLevel="0" collapsed="false">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row>
    <row r="215" customFormat="false" ht="14.25" hidden="false" customHeight="false" outlineLevel="0" collapsed="false">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row>
    <row r="216" customFormat="false" ht="14.25" hidden="false" customHeight="false" outlineLevel="0" collapsed="false">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row>
    <row r="217" customFormat="false" ht="14.25" hidden="false" customHeight="false" outlineLevel="0" collapsed="false">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row>
    <row r="218" customFormat="false" ht="14.25" hidden="false" customHeight="false" outlineLevel="0" collapsed="false">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row>
    <row r="219" customFormat="false" ht="14.25" hidden="false" customHeight="false" outlineLevel="0" collapsed="false">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row>
    <row r="220" customFormat="false" ht="14.25" hidden="false" customHeight="false" outlineLevel="0" collapsed="false">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row>
    <row r="221" customFormat="false" ht="14.25" hidden="false" customHeight="false" outlineLevel="0" collapsed="false">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row>
    <row r="222" customFormat="false" ht="14.25" hidden="false" customHeight="false" outlineLevel="0" collapsed="false">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row>
    <row r="223" customFormat="false" ht="14.25" hidden="false" customHeight="false" outlineLevel="0" collapsed="false">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row>
    <row r="224" customFormat="false" ht="14.25" hidden="false" customHeight="false" outlineLevel="0" collapsed="false">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row>
    <row r="225" customFormat="false" ht="14.25" hidden="false" customHeight="false" outlineLevel="0" collapsed="false">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row>
    <row r="226" customFormat="false" ht="14.25" hidden="false" customHeight="false" outlineLevel="0" collapsed="false">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row>
    <row r="227" customFormat="false" ht="14.25" hidden="false" customHeight="false" outlineLevel="0" collapsed="false">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row>
    <row r="228" customFormat="false" ht="14.25" hidden="false" customHeight="false" outlineLevel="0" collapsed="false">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row>
    <row r="229" customFormat="false" ht="14.25" hidden="false" customHeight="false" outlineLevel="0" collapsed="false">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row>
    <row r="230" customFormat="false" ht="14.25" hidden="false" customHeight="false" outlineLevel="0" collapsed="false">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row>
    <row r="231" customFormat="false" ht="14.25" hidden="false" customHeight="false" outlineLevel="0" collapsed="false">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row>
    <row r="232" customFormat="false" ht="14.25" hidden="false" customHeight="false" outlineLevel="0" collapsed="false">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row>
    <row r="233" customFormat="false" ht="14.25" hidden="false" customHeight="false" outlineLevel="0" collapsed="false">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row>
    <row r="234" customFormat="false" ht="14.25" hidden="false" customHeight="false" outlineLevel="0" collapsed="false">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row>
    <row r="235" customFormat="false" ht="14.25" hidden="false" customHeight="false" outlineLevel="0" collapsed="false">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row>
    <row r="236" customFormat="false" ht="14.25" hidden="false" customHeight="false" outlineLevel="0" collapsed="false">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row>
    <row r="237" customFormat="false" ht="14.25" hidden="false" customHeight="false" outlineLevel="0" collapsed="false">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row>
    <row r="238" customFormat="false" ht="14.25" hidden="false" customHeight="false" outlineLevel="0" collapsed="false">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row>
    <row r="239" customFormat="false" ht="14.25" hidden="false" customHeight="false" outlineLevel="0" collapsed="false">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row>
    <row r="240" customFormat="false" ht="14.25" hidden="false" customHeight="false" outlineLevel="0" collapsed="false">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row>
    <row r="241" customFormat="false" ht="14.25" hidden="false" customHeight="false" outlineLevel="0" collapsed="false">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row>
    <row r="242" customFormat="false" ht="14.25" hidden="false" customHeight="false" outlineLevel="0" collapsed="false">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row>
    <row r="243" customFormat="false" ht="14.25" hidden="false" customHeight="false" outlineLevel="0" collapsed="false">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row>
    <row r="244" customFormat="false" ht="14.25" hidden="false" customHeight="false" outlineLevel="0" collapsed="false">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row>
    <row r="245" customFormat="false" ht="14.25" hidden="false" customHeight="false" outlineLevel="0" collapsed="false">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row>
    <row r="246" customFormat="false" ht="14.25" hidden="false" customHeight="false" outlineLevel="0" collapsed="false">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row>
    <row r="247" customFormat="false" ht="14.25" hidden="false" customHeight="false" outlineLevel="0" collapsed="false">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row>
    <row r="248" customFormat="false" ht="14.25" hidden="false" customHeight="false" outlineLevel="0" collapsed="false">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row>
    <row r="249" customFormat="false" ht="14.25" hidden="false" customHeight="false" outlineLevel="0" collapsed="false">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row>
    <row r="250" customFormat="false" ht="14.25" hidden="false" customHeight="false" outlineLevel="0" collapsed="false">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row>
    <row r="251" customFormat="false" ht="14.25" hidden="false" customHeight="false" outlineLevel="0" collapsed="false">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row>
    <row r="252" customFormat="false" ht="14.25" hidden="false" customHeight="false" outlineLevel="0" collapsed="false">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row>
    <row r="253" customFormat="false" ht="14.25" hidden="false" customHeight="false" outlineLevel="0" collapsed="false">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row>
    <row r="254" customFormat="false" ht="14.25" hidden="false" customHeight="false" outlineLevel="0" collapsed="false">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row>
    <row r="255" customFormat="false" ht="14.25" hidden="false" customHeight="false" outlineLevel="0" collapsed="false">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row>
    <row r="256" customFormat="false" ht="14.25" hidden="false" customHeight="false" outlineLevel="0" collapsed="false">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row>
    <row r="257" customFormat="false" ht="14.25" hidden="false" customHeight="false" outlineLevel="0" collapsed="false">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row>
    <row r="258" customFormat="false" ht="14.25" hidden="false" customHeight="false" outlineLevel="0" collapsed="false">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row>
    <row r="259" customFormat="false" ht="14.25" hidden="false" customHeight="false" outlineLevel="0" collapsed="false">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row>
    <row r="260" customFormat="false" ht="14.25" hidden="false" customHeight="false" outlineLevel="0" collapsed="false">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row>
    <row r="261" customFormat="false" ht="14.25" hidden="false" customHeight="false" outlineLevel="0" collapsed="false">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row>
    <row r="262" customFormat="false" ht="14.25" hidden="false" customHeight="false" outlineLevel="0" collapsed="false">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row>
    <row r="263" customFormat="false" ht="14.25" hidden="false" customHeight="false" outlineLevel="0" collapsed="false">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row>
    <row r="264" customFormat="false" ht="14.25" hidden="false" customHeight="false" outlineLevel="0" collapsed="false">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row>
    <row r="265" customFormat="false" ht="14.25" hidden="false" customHeight="false" outlineLevel="0" collapsed="false">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row>
    <row r="266" customFormat="false" ht="14.25" hidden="false" customHeight="false" outlineLevel="0" collapsed="false">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row>
    <row r="267" customFormat="false" ht="14.25" hidden="false" customHeight="false" outlineLevel="0" collapsed="false">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row>
    <row r="268" customFormat="false" ht="14.25" hidden="false" customHeight="false" outlineLevel="0" collapsed="false">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row>
    <row r="269" customFormat="false" ht="14.25" hidden="false" customHeight="false" outlineLevel="0" collapsed="false">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row>
    <row r="270" customFormat="false" ht="14.25" hidden="false" customHeight="false" outlineLevel="0" collapsed="false">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row>
    <row r="271" customFormat="false" ht="14.25" hidden="false" customHeight="false" outlineLevel="0" collapsed="false">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row>
    <row r="272" customFormat="false" ht="14.25" hidden="false" customHeight="false" outlineLevel="0" collapsed="false">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row>
    <row r="273" customFormat="false" ht="14.25" hidden="false" customHeight="false" outlineLevel="0" collapsed="false">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row>
    <row r="274" customFormat="false" ht="14.25" hidden="false" customHeight="false" outlineLevel="0" collapsed="false">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row>
    <row r="275" customFormat="false" ht="14.25" hidden="false" customHeight="false" outlineLevel="0" collapsed="false">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row>
    <row r="276" customFormat="false" ht="14.25" hidden="false" customHeight="false" outlineLevel="0" collapsed="false">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row>
    <row r="277" customFormat="false" ht="14.25" hidden="false" customHeight="false" outlineLevel="0" collapsed="false">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row>
    <row r="278" customFormat="false" ht="14.25" hidden="false" customHeight="false" outlineLevel="0" collapsed="false">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row>
    <row r="279" customFormat="false" ht="14.25" hidden="false" customHeight="false" outlineLevel="0" collapsed="false">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row>
    <row r="280" customFormat="false" ht="14.25" hidden="false" customHeight="false" outlineLevel="0" collapsed="false">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row>
    <row r="281" customFormat="false" ht="14.25" hidden="false" customHeight="false" outlineLevel="0" collapsed="false">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row>
    <row r="282" customFormat="false" ht="14.25" hidden="false" customHeight="false" outlineLevel="0" collapsed="false">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row>
    <row r="283" customFormat="false" ht="14.25" hidden="false" customHeight="false" outlineLevel="0" collapsed="false">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row>
    <row r="284" customFormat="false" ht="14.25" hidden="false" customHeight="false" outlineLevel="0" collapsed="false">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row>
    <row r="285" customFormat="false" ht="14.25" hidden="false" customHeight="false" outlineLevel="0" collapsed="false">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row>
    <row r="286" customFormat="false" ht="14.25" hidden="false" customHeight="false" outlineLevel="0" collapsed="false">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row>
    <row r="287" customFormat="false" ht="14.25" hidden="false" customHeight="false" outlineLevel="0" collapsed="false">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row>
    <row r="288" customFormat="false" ht="14.25" hidden="false" customHeight="false" outlineLevel="0" collapsed="false">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row>
    <row r="289" customFormat="false" ht="14.25" hidden="false" customHeight="false" outlineLevel="0" collapsed="false">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row>
    <row r="290" customFormat="false" ht="14.25" hidden="false" customHeight="false" outlineLevel="0" collapsed="false">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row>
    <row r="291" customFormat="false" ht="14.25" hidden="false" customHeight="false" outlineLevel="0" collapsed="false">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row>
    <row r="292" customFormat="false" ht="14.25" hidden="false" customHeight="false" outlineLevel="0" collapsed="false">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row>
    <row r="293" customFormat="false" ht="14.25" hidden="false" customHeight="false" outlineLevel="0" collapsed="false">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row>
    <row r="294" customFormat="false" ht="14.25" hidden="false" customHeight="false" outlineLevel="0" collapsed="false">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row>
    <row r="295" customFormat="false" ht="14.25" hidden="false" customHeight="false" outlineLevel="0" collapsed="false">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row>
    <row r="296" customFormat="false" ht="14.25" hidden="false" customHeight="false" outlineLevel="0" collapsed="false">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row>
    <row r="297" customFormat="false" ht="14.25" hidden="false" customHeight="false" outlineLevel="0" collapsed="false">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row>
    <row r="298" customFormat="false" ht="14.25" hidden="false" customHeight="false" outlineLevel="0" collapsed="false">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row>
    <row r="299" customFormat="false" ht="14.25" hidden="false" customHeight="false" outlineLevel="0" collapsed="false">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row>
    <row r="300" customFormat="false" ht="14.25" hidden="false" customHeight="false" outlineLevel="0" collapsed="false">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row>
    <row r="301" customFormat="false" ht="14.25" hidden="false" customHeight="false" outlineLevel="0" collapsed="false">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row>
    <row r="302" customFormat="false" ht="14.25" hidden="false" customHeight="false" outlineLevel="0" collapsed="false">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row>
    <row r="303" customFormat="false" ht="14.25" hidden="false" customHeight="false" outlineLevel="0" collapsed="false">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c r="AB303" s="65"/>
      <c r="AC303" s="65"/>
      <c r="AD303" s="65"/>
      <c r="AE303" s="65"/>
      <c r="AF303" s="65"/>
    </row>
    <row r="304" customFormat="false" ht="14.25" hidden="false" customHeight="false" outlineLevel="0" collapsed="false">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c r="AB304" s="65"/>
      <c r="AC304" s="65"/>
      <c r="AD304" s="65"/>
      <c r="AE304" s="65"/>
      <c r="AF304" s="65"/>
    </row>
    <row r="305" customFormat="false" ht="14.25" hidden="false" customHeight="false" outlineLevel="0" collapsed="false">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c r="AB305" s="65"/>
      <c r="AC305" s="65"/>
      <c r="AD305" s="65"/>
      <c r="AE305" s="65"/>
      <c r="AF305" s="65"/>
    </row>
    <row r="306" customFormat="false" ht="14.25" hidden="false" customHeight="false" outlineLevel="0" collapsed="false">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c r="AB306" s="65"/>
      <c r="AC306" s="65"/>
      <c r="AD306" s="65"/>
      <c r="AE306" s="65"/>
      <c r="AF306" s="65"/>
    </row>
    <row r="307" customFormat="false" ht="14.25" hidden="false" customHeight="false" outlineLevel="0" collapsed="false">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c r="AB307" s="65"/>
      <c r="AC307" s="65"/>
      <c r="AD307" s="65"/>
      <c r="AE307" s="65"/>
      <c r="AF307" s="65"/>
    </row>
    <row r="308" customFormat="false" ht="14.25" hidden="false" customHeight="false" outlineLevel="0" collapsed="false">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c r="AB308" s="65"/>
      <c r="AC308" s="65"/>
      <c r="AD308" s="65"/>
      <c r="AE308" s="65"/>
      <c r="AF308" s="65"/>
    </row>
    <row r="309" customFormat="false" ht="14.25" hidden="false" customHeight="false" outlineLevel="0" collapsed="false">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c r="AB309" s="65"/>
      <c r="AC309" s="65"/>
      <c r="AD309" s="65"/>
      <c r="AE309" s="65"/>
      <c r="AF309" s="65"/>
    </row>
    <row r="310" customFormat="false" ht="14.25" hidden="false" customHeight="false" outlineLevel="0" collapsed="false">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c r="AB310" s="65"/>
      <c r="AC310" s="65"/>
      <c r="AD310" s="65"/>
      <c r="AE310" s="65"/>
      <c r="AF310" s="65"/>
    </row>
    <row r="311" customFormat="false" ht="14.25" hidden="false" customHeight="false" outlineLevel="0" collapsed="false">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c r="AB311" s="65"/>
      <c r="AC311" s="65"/>
      <c r="AD311" s="65"/>
      <c r="AE311" s="65"/>
      <c r="AF311" s="65"/>
    </row>
    <row r="312" customFormat="false" ht="14.25" hidden="false" customHeight="false" outlineLevel="0" collapsed="false">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c r="AB312" s="65"/>
      <c r="AC312" s="65"/>
      <c r="AD312" s="65"/>
      <c r="AE312" s="65"/>
      <c r="AF312" s="65"/>
    </row>
    <row r="313" customFormat="false" ht="14.25" hidden="false" customHeight="false" outlineLevel="0" collapsed="false">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c r="AB313" s="65"/>
      <c r="AC313" s="65"/>
      <c r="AD313" s="65"/>
      <c r="AE313" s="65"/>
      <c r="AF313" s="65"/>
    </row>
    <row r="314" customFormat="false" ht="14.25" hidden="false" customHeight="false" outlineLevel="0" collapsed="false">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c r="AB314" s="65"/>
      <c r="AC314" s="65"/>
      <c r="AD314" s="65"/>
      <c r="AE314" s="65"/>
      <c r="AF314" s="65"/>
    </row>
    <row r="315" customFormat="false" ht="14.25" hidden="false" customHeight="false" outlineLevel="0" collapsed="false">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c r="AB315" s="65"/>
      <c r="AC315" s="65"/>
      <c r="AD315" s="65"/>
      <c r="AE315" s="65"/>
      <c r="AF315" s="65"/>
    </row>
    <row r="316" customFormat="false" ht="14.25" hidden="false" customHeight="false" outlineLevel="0" collapsed="false">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c r="AB316" s="65"/>
      <c r="AC316" s="65"/>
      <c r="AD316" s="65"/>
      <c r="AE316" s="65"/>
      <c r="AF316" s="65"/>
    </row>
    <row r="317" customFormat="false" ht="14.25" hidden="false" customHeight="false" outlineLevel="0" collapsed="false">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c r="AB317" s="65"/>
      <c r="AC317" s="65"/>
      <c r="AD317" s="65"/>
      <c r="AE317" s="65"/>
      <c r="AF317" s="65"/>
    </row>
    <row r="318" customFormat="false" ht="14.25" hidden="false" customHeight="false" outlineLevel="0" collapsed="false">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c r="AB318" s="65"/>
      <c r="AC318" s="65"/>
      <c r="AD318" s="65"/>
      <c r="AE318" s="65"/>
      <c r="AF318" s="65"/>
    </row>
    <row r="319" customFormat="false" ht="14.25" hidden="false" customHeight="false" outlineLevel="0" collapsed="false">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c r="AB319" s="65"/>
      <c r="AC319" s="65"/>
      <c r="AD319" s="65"/>
      <c r="AE319" s="65"/>
      <c r="AF319" s="6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C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8"/>
    <col collapsed="false" customWidth="true" hidden="false" outlineLevel="0" max="3" min="3" style="1" width="10.82"/>
    <col collapsed="false" customWidth="true" hidden="false" outlineLevel="0" max="4" min="4" style="1" width="12.45"/>
    <col collapsed="false" customWidth="true" hidden="false" outlineLevel="0" max="17" min="6" style="1" width="16.27"/>
    <col collapsed="false" customWidth="true" hidden="false" outlineLevel="0" max="18" min="18" style="1" width="9.18"/>
    <col collapsed="false" customWidth="true" hidden="false" outlineLevel="0" max="19" min="19" style="1" width="11.82"/>
    <col collapsed="false" customWidth="true" hidden="false" outlineLevel="0" max="22" min="20" style="1" width="9.18"/>
    <col collapsed="false" customWidth="true" hidden="false" outlineLevel="0" max="25" min="25" style="1" width="10.54"/>
    <col collapsed="false" customWidth="true" hidden="false" outlineLevel="0" max="28" min="28" style="1" width="37.82"/>
    <col collapsed="false" customWidth="true" hidden="false" outlineLevel="0" max="31" min="31" style="1" width="7.45"/>
    <col collapsed="false" customWidth="true" hidden="false" outlineLevel="0" max="32" min="32" style="1" width="11.82"/>
  </cols>
  <sheetData>
    <row r="1" customFormat="false" ht="35.05" hidden="false" customHeight="false" outlineLevel="0" collapsed="false">
      <c r="A1" s="90"/>
      <c r="B1" s="90"/>
      <c r="C1" s="90"/>
      <c r="D1" s="91" t="s">
        <v>160</v>
      </c>
      <c r="E1" s="92" t="s">
        <v>161</v>
      </c>
      <c r="F1" s="92" t="s">
        <v>10</v>
      </c>
      <c r="G1" s="92" t="s">
        <v>11</v>
      </c>
      <c r="H1" s="92" t="s">
        <v>162</v>
      </c>
      <c r="I1" s="92" t="s">
        <v>13</v>
      </c>
      <c r="J1" s="92" t="s">
        <v>14</v>
      </c>
      <c r="K1" s="92" t="s">
        <v>15</v>
      </c>
      <c r="L1" s="92" t="s">
        <v>16</v>
      </c>
      <c r="M1" s="92" t="s">
        <v>17</v>
      </c>
      <c r="N1" s="92" t="s">
        <v>18</v>
      </c>
      <c r="O1" s="92" t="s">
        <v>19</v>
      </c>
      <c r="P1" s="92" t="s">
        <v>20</v>
      </c>
      <c r="Q1" s="92" t="s">
        <v>21</v>
      </c>
      <c r="R1" s="92" t="s">
        <v>163</v>
      </c>
      <c r="S1" s="92" t="s">
        <v>164</v>
      </c>
      <c r="T1" s="92" t="s">
        <v>165</v>
      </c>
      <c r="U1" s="92" t="s">
        <v>166</v>
      </c>
      <c r="V1" s="92" t="s">
        <v>167</v>
      </c>
      <c r="W1" s="92" t="s">
        <v>168</v>
      </c>
      <c r="X1" s="92" t="s">
        <v>169</v>
      </c>
      <c r="Y1" s="93" t="s">
        <v>170</v>
      </c>
      <c r="Z1" s="90"/>
      <c r="AA1" s="90"/>
      <c r="AB1" s="90"/>
      <c r="AC1" s="90"/>
      <c r="AD1" s="90"/>
      <c r="AE1" s="90"/>
      <c r="AF1" s="90"/>
      <c r="AG1" s="90"/>
      <c r="AH1" s="90"/>
    </row>
    <row r="2" customFormat="false" ht="15" hidden="false" customHeight="true" outlineLevel="0" collapsed="false">
      <c r="A2" s="94" t="s">
        <v>171</v>
      </c>
      <c r="B2" s="95" t="n">
        <v>1</v>
      </c>
      <c r="C2" s="96" t="s">
        <v>172</v>
      </c>
      <c r="D2" s="97"/>
      <c r="E2" s="98" t="n">
        <v>4</v>
      </c>
      <c r="F2" s="98" t="n">
        <v>3</v>
      </c>
      <c r="G2" s="98"/>
      <c r="H2" s="98"/>
      <c r="I2" s="98"/>
      <c r="J2" s="98"/>
      <c r="K2" s="98"/>
      <c r="L2" s="98"/>
      <c r="M2" s="98"/>
      <c r="N2" s="98"/>
      <c r="O2" s="98"/>
      <c r="P2" s="98"/>
      <c r="Q2" s="99"/>
      <c r="R2" s="98" t="n">
        <v>2</v>
      </c>
      <c r="S2" s="98"/>
      <c r="T2" s="98"/>
      <c r="U2" s="97" t="n">
        <v>3</v>
      </c>
      <c r="V2" s="98" t="n">
        <v>2</v>
      </c>
      <c r="W2" s="98" t="n">
        <v>2.5</v>
      </c>
      <c r="X2" s="98" t="n">
        <v>0</v>
      </c>
      <c r="Y2" s="99" t="n">
        <f aca="false">SUM(U2:X2)</f>
        <v>7.5</v>
      </c>
      <c r="Z2" s="100"/>
      <c r="AA2" s="100"/>
      <c r="AB2" s="100"/>
      <c r="AC2" s="100"/>
      <c r="AD2" s="100"/>
      <c r="AE2" s="100"/>
      <c r="AF2" s="100"/>
      <c r="AG2" s="100"/>
      <c r="AH2" s="100"/>
    </row>
    <row r="3" customFormat="false" ht="15" hidden="false" customHeight="false" outlineLevel="0" collapsed="false">
      <c r="A3" s="94"/>
      <c r="B3" s="95"/>
      <c r="C3" s="101" t="s">
        <v>44</v>
      </c>
      <c r="D3" s="102"/>
      <c r="E3" s="100"/>
      <c r="F3" s="100" t="n">
        <v>3</v>
      </c>
      <c r="G3" s="100"/>
      <c r="H3" s="100"/>
      <c r="I3" s="100"/>
      <c r="J3" s="100"/>
      <c r="K3" s="100"/>
      <c r="L3" s="100"/>
      <c r="M3" s="100"/>
      <c r="N3" s="100"/>
      <c r="O3" s="100"/>
      <c r="P3" s="100"/>
      <c r="Q3" s="103"/>
      <c r="R3" s="100"/>
      <c r="S3" s="100"/>
      <c r="T3" s="100"/>
      <c r="U3" s="102" t="n">
        <f aca="false">SUM(C3:Q3)</f>
        <v>3</v>
      </c>
      <c r="V3" s="100" t="n">
        <v>2</v>
      </c>
      <c r="W3" s="100" t="n">
        <v>2.5</v>
      </c>
      <c r="X3" s="100" t="n">
        <v>0</v>
      </c>
      <c r="Y3" s="103" t="n">
        <f aca="false">SUM(U3:X3)</f>
        <v>7.5</v>
      </c>
      <c r="Z3" s="100"/>
      <c r="AA3" s="100"/>
      <c r="AB3" s="100"/>
      <c r="AC3" s="100"/>
      <c r="AD3" s="100"/>
      <c r="AE3" s="100"/>
      <c r="AF3" s="100"/>
      <c r="AG3" s="100"/>
      <c r="AH3" s="100"/>
    </row>
    <row r="4" customFormat="false" ht="15" hidden="false" customHeight="false" outlineLevel="0" collapsed="false">
      <c r="A4" s="94"/>
      <c r="B4" s="95"/>
      <c r="C4" s="101" t="s">
        <v>55</v>
      </c>
      <c r="D4" s="102"/>
      <c r="E4" s="100"/>
      <c r="F4" s="100" t="n">
        <v>3</v>
      </c>
      <c r="G4" s="100"/>
      <c r="H4" s="100"/>
      <c r="I4" s="100"/>
      <c r="J4" s="100"/>
      <c r="K4" s="100"/>
      <c r="L4" s="100"/>
      <c r="M4" s="100"/>
      <c r="N4" s="100"/>
      <c r="O4" s="100"/>
      <c r="P4" s="100"/>
      <c r="Q4" s="103"/>
      <c r="R4" s="100"/>
      <c r="S4" s="100"/>
      <c r="T4" s="100"/>
      <c r="U4" s="102" t="n">
        <f aca="false">SUM(C4:Q4)</f>
        <v>3</v>
      </c>
      <c r="V4" s="100" t="n">
        <v>2</v>
      </c>
      <c r="W4" s="100" t="n">
        <v>2.5</v>
      </c>
      <c r="X4" s="100" t="n">
        <v>0</v>
      </c>
      <c r="Y4" s="103" t="n">
        <f aca="false">SUM(U4:X4)</f>
        <v>7.5</v>
      </c>
      <c r="Z4" s="100"/>
      <c r="AA4" s="100"/>
      <c r="AB4" s="100"/>
      <c r="AC4" s="100"/>
      <c r="AD4" s="100"/>
      <c r="AE4" s="100"/>
      <c r="AF4" s="100"/>
      <c r="AG4" s="100"/>
      <c r="AH4" s="100"/>
    </row>
    <row r="5" customFormat="false" ht="15" hidden="false" customHeight="true" outlineLevel="0" collapsed="false">
      <c r="A5" s="94"/>
      <c r="B5" s="95"/>
      <c r="C5" s="101" t="s">
        <v>173</v>
      </c>
      <c r="D5" s="102"/>
      <c r="E5" s="100"/>
      <c r="F5" s="100" t="n">
        <v>3</v>
      </c>
      <c r="G5" s="100"/>
      <c r="H5" s="100"/>
      <c r="I5" s="100"/>
      <c r="J5" s="100"/>
      <c r="K5" s="100"/>
      <c r="L5" s="100"/>
      <c r="M5" s="100"/>
      <c r="N5" s="100"/>
      <c r="O5" s="100"/>
      <c r="P5" s="100"/>
      <c r="Q5" s="103"/>
      <c r="R5" s="100"/>
      <c r="S5" s="100"/>
      <c r="T5" s="100"/>
      <c r="U5" s="102" t="n">
        <f aca="false">SUM(C5:Q5)</f>
        <v>3</v>
      </c>
      <c r="V5" s="100" t="n">
        <v>2</v>
      </c>
      <c r="W5" s="100" t="n">
        <v>2.5</v>
      </c>
      <c r="X5" s="100" t="n">
        <v>2</v>
      </c>
      <c r="Y5" s="103" t="n">
        <f aca="false">SUM(U5:X5)</f>
        <v>9.5</v>
      </c>
      <c r="Z5" s="100"/>
      <c r="AA5" s="100"/>
      <c r="AB5" s="100"/>
      <c r="AC5" s="100"/>
      <c r="AD5" s="100"/>
      <c r="AE5" s="100"/>
      <c r="AF5" s="100"/>
      <c r="AG5" s="100"/>
      <c r="AH5" s="100"/>
    </row>
    <row r="6" customFormat="false" ht="15" hidden="false" customHeight="false" outlineLevel="0" collapsed="false">
      <c r="A6" s="94"/>
      <c r="B6" s="104" t="n">
        <v>2</v>
      </c>
      <c r="C6" s="101" t="s">
        <v>61</v>
      </c>
      <c r="D6" s="102"/>
      <c r="E6" s="100"/>
      <c r="F6" s="100"/>
      <c r="G6" s="100" t="n">
        <v>3</v>
      </c>
      <c r="H6" s="100"/>
      <c r="I6" s="100"/>
      <c r="J6" s="100"/>
      <c r="K6" s="100"/>
      <c r="L6" s="100"/>
      <c r="M6" s="100"/>
      <c r="N6" s="100"/>
      <c r="O6" s="100"/>
      <c r="P6" s="100"/>
      <c r="Q6" s="103"/>
      <c r="R6" s="100" t="n">
        <v>2</v>
      </c>
      <c r="S6" s="100"/>
      <c r="T6" s="100"/>
      <c r="U6" s="102" t="n">
        <f aca="false">SUM(C6:Q6)</f>
        <v>3</v>
      </c>
      <c r="V6" s="100" t="n">
        <v>2</v>
      </c>
      <c r="W6" s="100" t="n">
        <v>2.5</v>
      </c>
      <c r="X6" s="100" t="n">
        <v>0</v>
      </c>
      <c r="Y6" s="103" t="n">
        <f aca="false">SUM(U6:X6)</f>
        <v>7.5</v>
      </c>
      <c r="Z6" s="100"/>
      <c r="AA6" s="100"/>
      <c r="AB6" s="100"/>
      <c r="AC6" s="100"/>
      <c r="AD6" s="100"/>
      <c r="AE6" s="100"/>
      <c r="AF6" s="100"/>
      <c r="AG6" s="100"/>
      <c r="AH6" s="100"/>
    </row>
    <row r="7" customFormat="false" ht="15" hidden="false" customHeight="false" outlineLevel="0" collapsed="false">
      <c r="A7" s="94"/>
      <c r="B7" s="104"/>
      <c r="C7" s="101" t="s">
        <v>58</v>
      </c>
      <c r="D7" s="102"/>
      <c r="E7" s="100"/>
      <c r="F7" s="100"/>
      <c r="G7" s="100" t="n">
        <v>3</v>
      </c>
      <c r="H7" s="100"/>
      <c r="I7" s="100"/>
      <c r="J7" s="100"/>
      <c r="K7" s="100"/>
      <c r="L7" s="100"/>
      <c r="M7" s="100"/>
      <c r="N7" s="100"/>
      <c r="O7" s="100"/>
      <c r="P7" s="100"/>
      <c r="Q7" s="103"/>
      <c r="R7" s="100"/>
      <c r="S7" s="100"/>
      <c r="T7" s="100"/>
      <c r="U7" s="102" t="n">
        <f aca="false">SUM(C7:Q7)</f>
        <v>3</v>
      </c>
      <c r="V7" s="100" t="n">
        <v>2</v>
      </c>
      <c r="W7" s="100" t="n">
        <v>2.5</v>
      </c>
      <c r="X7" s="100" t="n">
        <v>0</v>
      </c>
      <c r="Y7" s="103" t="n">
        <f aca="false">SUM(U7:X7)</f>
        <v>7.5</v>
      </c>
      <c r="Z7" s="100"/>
      <c r="AA7" s="100"/>
      <c r="AB7" s="100"/>
      <c r="AC7" s="100"/>
      <c r="AD7" s="100"/>
      <c r="AE7" s="100"/>
      <c r="AF7" s="100"/>
      <c r="AG7" s="100"/>
      <c r="AH7" s="100"/>
    </row>
    <row r="8" customFormat="false" ht="15" hidden="false" customHeight="true" outlineLevel="0" collapsed="false">
      <c r="A8" s="94"/>
      <c r="B8" s="104"/>
      <c r="C8" s="101" t="s">
        <v>174</v>
      </c>
      <c r="D8" s="102"/>
      <c r="E8" s="100"/>
      <c r="G8" s="100" t="n">
        <v>3</v>
      </c>
      <c r="H8" s="100"/>
      <c r="I8" s="100"/>
      <c r="J8" s="100"/>
      <c r="K8" s="100"/>
      <c r="L8" s="100"/>
      <c r="M8" s="100"/>
      <c r="N8" s="100"/>
      <c r="O8" s="100"/>
      <c r="P8" s="100"/>
      <c r="Q8" s="103"/>
      <c r="R8" s="100"/>
      <c r="S8" s="100"/>
      <c r="T8" s="100"/>
      <c r="U8" s="102" t="n">
        <f aca="false">SUM(C8:Q8)</f>
        <v>3</v>
      </c>
      <c r="V8" s="100" t="n">
        <v>2</v>
      </c>
      <c r="W8" s="100" t="n">
        <v>2.5</v>
      </c>
      <c r="X8" s="100" t="n">
        <v>0</v>
      </c>
      <c r="Y8" s="103" t="n">
        <f aca="false">SUM(U8:X8)</f>
        <v>7.5</v>
      </c>
      <c r="Z8" s="100"/>
      <c r="AA8" s="100"/>
      <c r="AB8" s="100"/>
      <c r="AC8" s="100"/>
      <c r="AD8" s="100"/>
      <c r="AE8" s="100"/>
      <c r="AF8" s="100"/>
      <c r="AG8" s="100"/>
      <c r="AH8" s="100"/>
    </row>
    <row r="9" customFormat="false" ht="15" hidden="false" customHeight="false" outlineLevel="0" collapsed="false">
      <c r="A9" s="94"/>
      <c r="B9" s="104"/>
      <c r="C9" s="101" t="s">
        <v>175</v>
      </c>
      <c r="D9" s="102"/>
      <c r="E9" s="100"/>
      <c r="G9" s="100" t="n">
        <v>3</v>
      </c>
      <c r="H9" s="100"/>
      <c r="I9" s="100"/>
      <c r="J9" s="100"/>
      <c r="K9" s="100"/>
      <c r="L9" s="100"/>
      <c r="M9" s="100"/>
      <c r="N9" s="100"/>
      <c r="O9" s="100"/>
      <c r="P9" s="100"/>
      <c r="Q9" s="103"/>
      <c r="R9" s="100"/>
      <c r="S9" s="100"/>
      <c r="T9" s="100"/>
      <c r="U9" s="102" t="n">
        <f aca="false">SUM(C9:Q9)</f>
        <v>3</v>
      </c>
      <c r="V9" s="100" t="n">
        <v>2</v>
      </c>
      <c r="W9" s="100" t="n">
        <v>2.5</v>
      </c>
      <c r="X9" s="100" t="n">
        <v>0</v>
      </c>
      <c r="Y9" s="103" t="n">
        <f aca="false">SUM(U9:X9)</f>
        <v>7.5</v>
      </c>
      <c r="Z9" s="100"/>
      <c r="AA9" s="100"/>
      <c r="AB9" s="100" t="s">
        <v>176</v>
      </c>
      <c r="AC9" s="100" t="n">
        <f aca="false">E2</f>
        <v>4</v>
      </c>
      <c r="AD9" s="100"/>
      <c r="AE9" s="100"/>
      <c r="AF9" s="100"/>
      <c r="AG9" s="100"/>
      <c r="AH9" s="100"/>
    </row>
    <row r="10" customFormat="false" ht="15" hidden="false" customHeight="false" outlineLevel="0" collapsed="false">
      <c r="A10" s="94"/>
      <c r="B10" s="104" t="n">
        <v>3</v>
      </c>
      <c r="C10" s="101" t="s">
        <v>177</v>
      </c>
      <c r="D10" s="102"/>
      <c r="E10" s="100"/>
      <c r="G10" s="100" t="n">
        <v>3</v>
      </c>
      <c r="H10" s="100"/>
      <c r="I10" s="100"/>
      <c r="J10" s="100"/>
      <c r="K10" s="100"/>
      <c r="L10" s="100"/>
      <c r="M10" s="100"/>
      <c r="N10" s="100"/>
      <c r="O10" s="100"/>
      <c r="P10" s="100"/>
      <c r="Q10" s="103"/>
      <c r="R10" s="100" t="n">
        <v>2</v>
      </c>
      <c r="S10" s="100"/>
      <c r="T10" s="100"/>
      <c r="U10" s="102" t="n">
        <f aca="false">SUM(C10:Q10)</f>
        <v>3</v>
      </c>
      <c r="V10" s="100" t="n">
        <v>2</v>
      </c>
      <c r="W10" s="100" t="n">
        <v>2.5</v>
      </c>
      <c r="X10" s="100" t="n">
        <v>2</v>
      </c>
      <c r="Y10" s="103" t="n">
        <f aca="false">SUM(U10:X10)</f>
        <v>9.5</v>
      </c>
      <c r="Z10" s="100"/>
      <c r="AA10" s="100"/>
      <c r="AB10" s="105" t="s">
        <v>178</v>
      </c>
      <c r="AC10" s="100"/>
      <c r="AD10" s="100"/>
      <c r="AE10" s="100"/>
      <c r="AF10" s="100" t="s">
        <v>179</v>
      </c>
      <c r="AG10" s="100"/>
      <c r="AH10" s="100"/>
    </row>
    <row r="11" customFormat="false" ht="15" hidden="false" customHeight="false" outlineLevel="0" collapsed="false">
      <c r="A11" s="94"/>
      <c r="B11" s="104"/>
      <c r="C11" s="101" t="s">
        <v>49</v>
      </c>
      <c r="D11" s="102"/>
      <c r="E11" s="100"/>
      <c r="G11" s="100"/>
      <c r="H11" s="100" t="n">
        <v>3</v>
      </c>
      <c r="I11" s="100"/>
      <c r="J11" s="100"/>
      <c r="K11" s="100"/>
      <c r="L11" s="100"/>
      <c r="M11" s="100"/>
      <c r="N11" s="100"/>
      <c r="O11" s="100"/>
      <c r="P11" s="100"/>
      <c r="Q11" s="103"/>
      <c r="R11" s="100"/>
      <c r="S11" s="100"/>
      <c r="T11" s="100"/>
      <c r="U11" s="102" t="n">
        <f aca="false">SUM(C11:Q11)</f>
        <v>3</v>
      </c>
      <c r="V11" s="100" t="n">
        <v>2</v>
      </c>
      <c r="W11" s="100" t="n">
        <v>2.5</v>
      </c>
      <c r="X11" s="100" t="n">
        <v>0</v>
      </c>
      <c r="Y11" s="103" t="n">
        <f aca="false">SUM(U11:X11)</f>
        <v>7.5</v>
      </c>
      <c r="Z11" s="100"/>
      <c r="AA11" s="100"/>
      <c r="AB11" s="106" t="s">
        <v>180</v>
      </c>
      <c r="AC11" s="107" t="n">
        <f aca="false">Y79+AC9</f>
        <v>487</v>
      </c>
      <c r="AD11" s="100"/>
      <c r="AE11" s="100"/>
      <c r="AF11" s="100"/>
      <c r="AG11" s="100"/>
      <c r="AH11" s="100"/>
    </row>
    <row r="12" customFormat="false" ht="15" hidden="false" customHeight="false" outlineLevel="0" collapsed="false">
      <c r="A12" s="94"/>
      <c r="B12" s="104"/>
      <c r="C12" s="101" t="s">
        <v>181</v>
      </c>
      <c r="D12" s="102"/>
      <c r="E12" s="100"/>
      <c r="G12" s="100"/>
      <c r="H12" s="100" t="n">
        <v>3</v>
      </c>
      <c r="I12" s="100"/>
      <c r="J12" s="100"/>
      <c r="K12" s="100"/>
      <c r="L12" s="100"/>
      <c r="M12" s="100"/>
      <c r="N12" s="100"/>
      <c r="O12" s="100"/>
      <c r="P12" s="100"/>
      <c r="Q12" s="103"/>
      <c r="R12" s="100"/>
      <c r="S12" s="100"/>
      <c r="T12" s="100"/>
      <c r="U12" s="102" t="n">
        <f aca="false">SUM(C12:Q12)</f>
        <v>3</v>
      </c>
      <c r="V12" s="100" t="n">
        <v>2</v>
      </c>
      <c r="W12" s="100" t="n">
        <v>2.5</v>
      </c>
      <c r="X12" s="100" t="n">
        <v>0</v>
      </c>
      <c r="Y12" s="103" t="n">
        <f aca="false">SUM(U12:X12)</f>
        <v>7.5</v>
      </c>
      <c r="Z12" s="100"/>
      <c r="AA12" s="100"/>
      <c r="AB12" s="100"/>
      <c r="AC12" s="108" t="s">
        <v>182</v>
      </c>
      <c r="AD12" s="108" t="s">
        <v>183</v>
      </c>
      <c r="AE12" s="109" t="s">
        <v>184</v>
      </c>
      <c r="AF12" s="109" t="s">
        <v>185</v>
      </c>
      <c r="AG12" s="100"/>
      <c r="AH12" s="100"/>
    </row>
    <row r="13" customFormat="false" ht="15" hidden="false" customHeight="false" outlineLevel="0" collapsed="false">
      <c r="A13" s="94"/>
      <c r="B13" s="104"/>
      <c r="C13" s="101" t="s">
        <v>186</v>
      </c>
      <c r="D13" s="102"/>
      <c r="E13" s="100"/>
      <c r="F13" s="100"/>
      <c r="G13" s="100"/>
      <c r="H13" s="100" t="n">
        <v>3</v>
      </c>
      <c r="I13" s="100"/>
      <c r="J13" s="100"/>
      <c r="K13" s="100"/>
      <c r="L13" s="100"/>
      <c r="M13" s="100"/>
      <c r="N13" s="100"/>
      <c r="O13" s="100"/>
      <c r="P13" s="100"/>
      <c r="Q13" s="103"/>
      <c r="R13" s="100"/>
      <c r="S13" s="110" t="s">
        <v>187</v>
      </c>
      <c r="T13" s="100"/>
      <c r="U13" s="102" t="n">
        <f aca="false">SUM(C13:Q13)</f>
        <v>3</v>
      </c>
      <c r="V13" s="100" t="n">
        <v>2</v>
      </c>
      <c r="W13" s="100" t="n">
        <v>2.5</v>
      </c>
      <c r="X13" s="100" t="n">
        <v>0</v>
      </c>
      <c r="Y13" s="103" t="n">
        <f aca="false">SUM(U13:X13)</f>
        <v>7.5</v>
      </c>
      <c r="Z13" s="100"/>
      <c r="AA13" s="100"/>
      <c r="AB13" s="111" t="s">
        <v>10</v>
      </c>
      <c r="AC13" s="112" t="n">
        <f aca="false">F78</f>
        <v>12</v>
      </c>
      <c r="AD13" s="113" t="n">
        <f aca="false">AC13/$AC$11</f>
        <v>0.0246406570841889</v>
      </c>
      <c r="AE13" s="113" t="n">
        <f aca="false">AD13</f>
        <v>0.0246406570841889</v>
      </c>
      <c r="AF13" s="112" t="n">
        <v>2</v>
      </c>
      <c r="AG13" s="114"/>
      <c r="AH13" s="100"/>
    </row>
    <row r="14" customFormat="false" ht="15" hidden="false" customHeight="false" outlineLevel="0" collapsed="false">
      <c r="A14" s="94"/>
      <c r="B14" s="104" t="n">
        <v>4</v>
      </c>
      <c r="C14" s="101" t="s">
        <v>52</v>
      </c>
      <c r="D14" s="102"/>
      <c r="E14" s="100"/>
      <c r="G14" s="100"/>
      <c r="H14" s="100" t="n">
        <v>3</v>
      </c>
      <c r="I14" s="100"/>
      <c r="J14" s="100"/>
      <c r="K14" s="100"/>
      <c r="L14" s="100"/>
      <c r="M14" s="100"/>
      <c r="N14" s="100"/>
      <c r="O14" s="100"/>
      <c r="P14" s="100"/>
      <c r="Q14" s="103"/>
      <c r="R14" s="100" t="n">
        <v>2</v>
      </c>
      <c r="S14" s="100"/>
      <c r="T14" s="100"/>
      <c r="U14" s="102" t="n">
        <f aca="false">SUM(C14:Q14)</f>
        <v>3</v>
      </c>
      <c r="V14" s="100" t="n">
        <v>2</v>
      </c>
      <c r="W14" s="100" t="n">
        <v>2.5</v>
      </c>
      <c r="X14" s="100" t="n">
        <v>0</v>
      </c>
      <c r="Y14" s="103" t="n">
        <f aca="false">SUM(U14:X14)</f>
        <v>7.5</v>
      </c>
      <c r="Z14" s="100"/>
      <c r="AA14" s="100"/>
      <c r="AB14" s="111" t="s">
        <v>11</v>
      </c>
      <c r="AC14" s="112" t="n">
        <f aca="false">G78</f>
        <v>15</v>
      </c>
      <c r="AD14" s="113" t="n">
        <f aca="false">AC14/$AC$11</f>
        <v>0.0308008213552361</v>
      </c>
      <c r="AE14" s="113" t="n">
        <f aca="false">AE13+AD14</f>
        <v>0.0554414784394251</v>
      </c>
      <c r="AF14" s="112" t="n">
        <v>2</v>
      </c>
      <c r="AG14" s="114"/>
      <c r="AH14" s="100"/>
    </row>
    <row r="15" customFormat="false" ht="15" hidden="false" customHeight="false" outlineLevel="0" collapsed="false">
      <c r="A15" s="94"/>
      <c r="B15" s="104"/>
      <c r="C15" s="101" t="s">
        <v>188</v>
      </c>
      <c r="D15" s="102"/>
      <c r="E15" s="100"/>
      <c r="G15" s="100"/>
      <c r="H15" s="100" t="n">
        <v>3</v>
      </c>
      <c r="I15" s="100"/>
      <c r="J15" s="100"/>
      <c r="K15" s="100"/>
      <c r="L15" s="100"/>
      <c r="M15" s="100"/>
      <c r="N15" s="100"/>
      <c r="O15" s="100"/>
      <c r="P15" s="100"/>
      <c r="Q15" s="103"/>
      <c r="R15" s="100"/>
      <c r="S15" s="100"/>
      <c r="T15" s="100"/>
      <c r="U15" s="102" t="n">
        <f aca="false">SUM(C15:Q15)</f>
        <v>3</v>
      </c>
      <c r="V15" s="100" t="n">
        <v>2</v>
      </c>
      <c r="W15" s="100" t="n">
        <v>2.5</v>
      </c>
      <c r="X15" s="100" t="n">
        <v>0</v>
      </c>
      <c r="Y15" s="103" t="n">
        <f aca="false">SUM(U15:X15)</f>
        <v>7.5</v>
      </c>
      <c r="Z15" s="100"/>
      <c r="AA15" s="100"/>
      <c r="AB15" s="111" t="s">
        <v>162</v>
      </c>
      <c r="AC15" s="112" t="n">
        <f aca="false">H78</f>
        <v>27</v>
      </c>
      <c r="AD15" s="113" t="n">
        <f aca="false">AC15/$AC$11</f>
        <v>0.0554414784394251</v>
      </c>
      <c r="AE15" s="113" t="n">
        <f aca="false">AE14+AD15</f>
        <v>0.11088295687885</v>
      </c>
      <c r="AF15" s="112" t="n">
        <v>2</v>
      </c>
      <c r="AG15" s="114"/>
      <c r="AH15" s="100"/>
    </row>
    <row r="16" customFormat="false" ht="15" hidden="false" customHeight="false" outlineLevel="0" collapsed="false">
      <c r="A16" s="94"/>
      <c r="B16" s="104"/>
      <c r="C16" s="101" t="s">
        <v>72</v>
      </c>
      <c r="D16" s="102"/>
      <c r="E16" s="100"/>
      <c r="G16" s="100"/>
      <c r="H16" s="100" t="n">
        <v>3</v>
      </c>
      <c r="I16" s="100"/>
      <c r="J16" s="100"/>
      <c r="K16" s="100"/>
      <c r="L16" s="100"/>
      <c r="M16" s="100"/>
      <c r="N16" s="100"/>
      <c r="O16" s="100"/>
      <c r="P16" s="100"/>
      <c r="Q16" s="103"/>
      <c r="R16" s="100"/>
      <c r="S16" s="100"/>
      <c r="T16" s="100"/>
      <c r="U16" s="102" t="n">
        <f aca="false">SUM(C16:Q16)</f>
        <v>3</v>
      </c>
      <c r="V16" s="100" t="n">
        <v>2</v>
      </c>
      <c r="W16" s="100" t="n">
        <v>2.5</v>
      </c>
      <c r="X16" s="100" t="n">
        <v>0</v>
      </c>
      <c r="Y16" s="103" t="n">
        <f aca="false">SUM(U16:X16)</f>
        <v>7.5</v>
      </c>
      <c r="Z16" s="100"/>
      <c r="AA16" s="100"/>
      <c r="AB16" s="111" t="s">
        <v>13</v>
      </c>
      <c r="AC16" s="112" t="n">
        <f aca="false">I78</f>
        <v>12</v>
      </c>
      <c r="AD16" s="113" t="n">
        <f aca="false">AC16/$AC$11</f>
        <v>0.0246406570841889</v>
      </c>
      <c r="AE16" s="113" t="n">
        <f aca="false">AE15+AD16</f>
        <v>0.135523613963039</v>
      </c>
      <c r="AF16" s="112" t="n">
        <v>2</v>
      </c>
      <c r="AG16" s="114"/>
      <c r="AH16" s="100"/>
    </row>
    <row r="17" customFormat="false" ht="15" hidden="false" customHeight="false" outlineLevel="0" collapsed="false">
      <c r="A17" s="94"/>
      <c r="B17" s="104"/>
      <c r="C17" s="101" t="s">
        <v>189</v>
      </c>
      <c r="D17" s="102"/>
      <c r="E17" s="100"/>
      <c r="G17" s="100"/>
      <c r="H17" s="100" t="n">
        <v>6</v>
      </c>
      <c r="I17" s="100"/>
      <c r="J17" s="100"/>
      <c r="K17" s="100"/>
      <c r="L17" s="100"/>
      <c r="M17" s="100"/>
      <c r="N17" s="100"/>
      <c r="O17" s="100"/>
      <c r="P17" s="100"/>
      <c r="Q17" s="103"/>
      <c r="R17" s="100"/>
      <c r="S17" s="100"/>
      <c r="T17" s="100"/>
      <c r="U17" s="102" t="n">
        <f aca="false">SUM(C17:Q17)</f>
        <v>6</v>
      </c>
      <c r="V17" s="100" t="n">
        <v>2</v>
      </c>
      <c r="W17" s="100" t="n">
        <v>2.5</v>
      </c>
      <c r="X17" s="100" t="n">
        <v>0</v>
      </c>
      <c r="Y17" s="103" t="n">
        <f aca="false">SUM(U17:X17)</f>
        <v>10.5</v>
      </c>
      <c r="Z17" s="100"/>
      <c r="AA17" s="100"/>
      <c r="AB17" s="111" t="s">
        <v>14</v>
      </c>
      <c r="AC17" s="112" t="n">
        <f aca="false">J78</f>
        <v>24</v>
      </c>
      <c r="AD17" s="113" t="n">
        <f aca="false">AC17/$AC$11</f>
        <v>0.0492813141683778</v>
      </c>
      <c r="AE17" s="113" t="n">
        <f aca="false">AE16+AD17</f>
        <v>0.184804928131417</v>
      </c>
      <c r="AF17" s="112" t="n">
        <v>2</v>
      </c>
      <c r="AG17" s="114"/>
      <c r="AH17" s="100"/>
    </row>
    <row r="18" customFormat="false" ht="15" hidden="false" customHeight="false" outlineLevel="0" collapsed="false">
      <c r="A18" s="94"/>
      <c r="B18" s="104" t="n">
        <v>5</v>
      </c>
      <c r="C18" s="101" t="s">
        <v>190</v>
      </c>
      <c r="D18" s="102"/>
      <c r="E18" s="100"/>
      <c r="G18" s="100"/>
      <c r="H18" s="100" t="n">
        <v>3</v>
      </c>
      <c r="I18" s="100"/>
      <c r="J18" s="100"/>
      <c r="K18" s="100"/>
      <c r="L18" s="100"/>
      <c r="M18" s="100"/>
      <c r="N18" s="100"/>
      <c r="O18" s="100"/>
      <c r="P18" s="100"/>
      <c r="Q18" s="103"/>
      <c r="R18" s="100" t="n">
        <v>2</v>
      </c>
      <c r="S18" s="100"/>
      <c r="T18" s="100"/>
      <c r="U18" s="102" t="n">
        <f aca="false">SUM(C18:Q18)</f>
        <v>3</v>
      </c>
      <c r="V18" s="100" t="n">
        <v>2</v>
      </c>
      <c r="W18" s="100" t="n">
        <v>2.5</v>
      </c>
      <c r="X18" s="100" t="n">
        <v>2</v>
      </c>
      <c r="Y18" s="103" t="n">
        <f aca="false">SUM(U18:X18)</f>
        <v>9.5</v>
      </c>
      <c r="Z18" s="100"/>
      <c r="AA18" s="100"/>
      <c r="AB18" s="111" t="s">
        <v>15</v>
      </c>
      <c r="AC18" s="112" t="n">
        <f aca="false">K78</f>
        <v>9</v>
      </c>
      <c r="AD18" s="113" t="n">
        <f aca="false">AC18/$AC$11</f>
        <v>0.0184804928131417</v>
      </c>
      <c r="AE18" s="113" t="n">
        <f aca="false">AE17+AD18</f>
        <v>0.203285420944559</v>
      </c>
      <c r="AF18" s="112" t="n">
        <v>2</v>
      </c>
      <c r="AG18" s="114"/>
      <c r="AH18" s="100"/>
    </row>
    <row r="19" customFormat="false" ht="15" hidden="false" customHeight="false" outlineLevel="0" collapsed="false">
      <c r="A19" s="94"/>
      <c r="B19" s="104"/>
      <c r="C19" s="101" t="s">
        <v>191</v>
      </c>
      <c r="D19" s="102"/>
      <c r="E19" s="100"/>
      <c r="F19" s="100"/>
      <c r="G19" s="100"/>
      <c r="H19" s="100"/>
      <c r="I19" s="100" t="n">
        <v>3</v>
      </c>
      <c r="J19" s="100"/>
      <c r="K19" s="100"/>
      <c r="L19" s="100"/>
      <c r="M19" s="100"/>
      <c r="N19" s="100"/>
      <c r="O19" s="100"/>
      <c r="P19" s="100"/>
      <c r="Q19" s="103"/>
      <c r="R19" s="100"/>
      <c r="S19" s="100"/>
      <c r="T19" s="100"/>
      <c r="U19" s="102" t="n">
        <f aca="false">SUM(C19:Q19)</f>
        <v>3</v>
      </c>
      <c r="V19" s="100" t="n">
        <v>2</v>
      </c>
      <c r="W19" s="100" t="n">
        <v>2.5</v>
      </c>
      <c r="X19" s="100" t="n">
        <v>0</v>
      </c>
      <c r="Y19" s="103" t="n">
        <f aca="false">SUM(U19:X19)</f>
        <v>7.5</v>
      </c>
      <c r="Z19" s="100"/>
      <c r="AA19" s="100"/>
      <c r="AB19" s="111" t="s">
        <v>16</v>
      </c>
      <c r="AC19" s="112" t="n">
        <f aca="false">L78</f>
        <v>12</v>
      </c>
      <c r="AD19" s="113" t="n">
        <f aca="false">AC19/$AC$11</f>
        <v>0.0246406570841889</v>
      </c>
      <c r="AE19" s="113" t="n">
        <f aca="false">AE18+AD19</f>
        <v>0.227926078028747</v>
      </c>
      <c r="AF19" s="112" t="n">
        <v>2</v>
      </c>
      <c r="AG19" s="114"/>
      <c r="AH19" s="100"/>
    </row>
    <row r="20" customFormat="false" ht="15" hidden="false" customHeight="false" outlineLevel="0" collapsed="false">
      <c r="A20" s="94"/>
      <c r="B20" s="104"/>
      <c r="C20" s="101" t="s">
        <v>192</v>
      </c>
      <c r="D20" s="102"/>
      <c r="E20" s="100"/>
      <c r="F20" s="100"/>
      <c r="G20" s="100"/>
      <c r="H20" s="100"/>
      <c r="I20" s="100" t="n">
        <v>3</v>
      </c>
      <c r="J20" s="100"/>
      <c r="K20" s="100"/>
      <c r="L20" s="100"/>
      <c r="M20" s="100"/>
      <c r="N20" s="100"/>
      <c r="O20" s="100"/>
      <c r="P20" s="100"/>
      <c r="Q20" s="103"/>
      <c r="R20" s="100"/>
      <c r="T20" s="100"/>
      <c r="U20" s="102" t="n">
        <f aca="false">SUM(C20:Q20)</f>
        <v>3</v>
      </c>
      <c r="V20" s="100" t="n">
        <v>2</v>
      </c>
      <c r="W20" s="100" t="n">
        <v>2.5</v>
      </c>
      <c r="X20" s="100" t="n">
        <v>0</v>
      </c>
      <c r="Y20" s="103" t="n">
        <f aca="false">SUM(U20:X20)</f>
        <v>7.5</v>
      </c>
      <c r="Z20" s="100"/>
      <c r="AA20" s="100"/>
      <c r="AB20" s="111" t="s">
        <v>17</v>
      </c>
      <c r="AC20" s="112" t="n">
        <f aca="false">M78</f>
        <v>21</v>
      </c>
      <c r="AD20" s="113" t="n">
        <f aca="false">AC20/$AC$11</f>
        <v>0.0431211498973306</v>
      </c>
      <c r="AE20" s="113" t="n">
        <f aca="false">AE19+AD20</f>
        <v>0.271047227926078</v>
      </c>
      <c r="AF20" s="112" t="n">
        <v>2</v>
      </c>
      <c r="AG20" s="114"/>
      <c r="AH20" s="100"/>
    </row>
    <row r="21" customFormat="false" ht="15" hidden="false" customHeight="false" outlineLevel="0" collapsed="false">
      <c r="A21" s="94"/>
      <c r="B21" s="104"/>
      <c r="C21" s="101" t="s">
        <v>193</v>
      </c>
      <c r="D21" s="102"/>
      <c r="E21" s="100"/>
      <c r="F21" s="100"/>
      <c r="G21" s="100"/>
      <c r="H21" s="100"/>
      <c r="I21" s="100" t="n">
        <v>3</v>
      </c>
      <c r="J21" s="100"/>
      <c r="K21" s="100"/>
      <c r="L21" s="100"/>
      <c r="M21" s="100"/>
      <c r="N21" s="100"/>
      <c r="O21" s="100"/>
      <c r="P21" s="100"/>
      <c r="Q21" s="103"/>
      <c r="R21" s="100"/>
      <c r="S21" s="100"/>
      <c r="T21" s="100"/>
      <c r="U21" s="102" t="n">
        <f aca="false">SUM(C21:Q21)</f>
        <v>3</v>
      </c>
      <c r="V21" s="100" t="n">
        <v>2</v>
      </c>
      <c r="W21" s="100" t="n">
        <v>2.5</v>
      </c>
      <c r="X21" s="100" t="n">
        <v>0</v>
      </c>
      <c r="Y21" s="103" t="n">
        <f aca="false">SUM(U21:X21)</f>
        <v>7.5</v>
      </c>
      <c r="Z21" s="100"/>
      <c r="AA21" s="100"/>
      <c r="AB21" s="111" t="s">
        <v>18</v>
      </c>
      <c r="AC21" s="112" t="n">
        <f aca="false">N78</f>
        <v>18</v>
      </c>
      <c r="AD21" s="113" t="n">
        <f aca="false">AC21/$AC$11</f>
        <v>0.0369609856262834</v>
      </c>
      <c r="AE21" s="113" t="n">
        <f aca="false">AE20+AD21</f>
        <v>0.308008213552361</v>
      </c>
      <c r="AF21" s="112" t="n">
        <v>2</v>
      </c>
      <c r="AG21" s="114"/>
    </row>
    <row r="22" customFormat="false" ht="15" hidden="false" customHeight="false" outlineLevel="0" collapsed="false">
      <c r="A22" s="94"/>
      <c r="B22" s="104" t="n">
        <v>6</v>
      </c>
      <c r="C22" s="101" t="s">
        <v>194</v>
      </c>
      <c r="D22" s="102"/>
      <c r="E22" s="100"/>
      <c r="F22" s="100"/>
      <c r="G22" s="100"/>
      <c r="H22" s="100"/>
      <c r="I22" s="100" t="n">
        <v>3</v>
      </c>
      <c r="J22" s="100"/>
      <c r="K22" s="100"/>
      <c r="L22" s="100"/>
      <c r="M22" s="100"/>
      <c r="N22" s="100"/>
      <c r="O22" s="100"/>
      <c r="P22" s="100"/>
      <c r="Q22" s="103"/>
      <c r="R22" s="100" t="n">
        <v>2</v>
      </c>
      <c r="T22" s="100"/>
      <c r="U22" s="102" t="n">
        <f aca="false">SUM(C22:Q22)</f>
        <v>3</v>
      </c>
      <c r="V22" s="100" t="n">
        <v>2</v>
      </c>
      <c r="W22" s="100" t="n">
        <v>2.5</v>
      </c>
      <c r="X22" s="100" t="n">
        <v>0</v>
      </c>
      <c r="Y22" s="103" t="n">
        <f aca="false">SUM(U22:X22)</f>
        <v>7.5</v>
      </c>
      <c r="Z22" s="100"/>
      <c r="AA22" s="100"/>
      <c r="AB22" s="111" t="s">
        <v>19</v>
      </c>
      <c r="AC22" s="112" t="n">
        <f aca="false">O78</f>
        <v>15</v>
      </c>
      <c r="AD22" s="113" t="n">
        <f aca="false">AC22/$AC$11</f>
        <v>0.0308008213552361</v>
      </c>
      <c r="AE22" s="113" t="n">
        <f aca="false">AE21+AD22</f>
        <v>0.338809034907598</v>
      </c>
      <c r="AF22" s="112" t="n">
        <v>2</v>
      </c>
      <c r="AG22" s="114"/>
    </row>
    <row r="23" customFormat="false" ht="15" hidden="false" customHeight="false" outlineLevel="0" collapsed="false">
      <c r="A23" s="94"/>
      <c r="B23" s="104"/>
      <c r="C23" s="101" t="s">
        <v>195</v>
      </c>
      <c r="D23" s="102"/>
      <c r="E23" s="100"/>
      <c r="F23" s="100"/>
      <c r="G23" s="100"/>
      <c r="H23" s="100"/>
      <c r="I23" s="100"/>
      <c r="J23" s="100" t="n">
        <v>6</v>
      </c>
      <c r="K23" s="100"/>
      <c r="L23" s="100"/>
      <c r="M23" s="100"/>
      <c r="N23" s="100"/>
      <c r="O23" s="100"/>
      <c r="P23" s="100"/>
      <c r="Q23" s="103"/>
      <c r="R23" s="100"/>
      <c r="S23" s="110" t="s">
        <v>187</v>
      </c>
      <c r="T23" s="100"/>
      <c r="U23" s="102" t="n">
        <f aca="false">SUM(C23:Q23)</f>
        <v>6</v>
      </c>
      <c r="V23" s="100" t="n">
        <v>2</v>
      </c>
      <c r="W23" s="100" t="n">
        <v>2.5</v>
      </c>
      <c r="X23" s="100" t="n">
        <v>2</v>
      </c>
      <c r="Y23" s="103" t="n">
        <f aca="false">SUM(U23:X23)</f>
        <v>12.5</v>
      </c>
      <c r="Z23" s="100"/>
      <c r="AA23" s="100"/>
      <c r="AB23" s="111" t="s">
        <v>20</v>
      </c>
      <c r="AC23" s="112" t="n">
        <f aca="false">P78</f>
        <v>15</v>
      </c>
      <c r="AD23" s="113" t="n">
        <f aca="false">AC23/$AC$11</f>
        <v>0.0308008213552361</v>
      </c>
      <c r="AE23" s="113" t="n">
        <f aca="false">AE22+AD23</f>
        <v>0.369609856262834</v>
      </c>
      <c r="AF23" s="112" t="n">
        <v>2</v>
      </c>
      <c r="AG23" s="114"/>
    </row>
    <row r="24" customFormat="false" ht="15" hidden="false" customHeight="false" outlineLevel="0" collapsed="false">
      <c r="A24" s="94"/>
      <c r="B24" s="104"/>
      <c r="C24" s="101" t="s">
        <v>196</v>
      </c>
      <c r="D24" s="102"/>
      <c r="E24" s="100"/>
      <c r="F24" s="100"/>
      <c r="G24" s="100"/>
      <c r="H24" s="100"/>
      <c r="I24" s="100"/>
      <c r="J24" s="100" t="n">
        <v>3</v>
      </c>
      <c r="K24" s="100"/>
      <c r="L24" s="100"/>
      <c r="M24" s="100"/>
      <c r="N24" s="100"/>
      <c r="O24" s="100"/>
      <c r="P24" s="100"/>
      <c r="Q24" s="103"/>
      <c r="R24" s="100"/>
      <c r="T24" s="100"/>
      <c r="U24" s="102" t="n">
        <f aca="false">SUM(C24:Q24)</f>
        <v>3</v>
      </c>
      <c r="V24" s="100" t="n">
        <v>2</v>
      </c>
      <c r="W24" s="100" t="n">
        <v>2.5</v>
      </c>
      <c r="X24" s="100" t="n">
        <v>0</v>
      </c>
      <c r="Y24" s="103" t="n">
        <f aca="false">SUM(U24:X24)</f>
        <v>7.5</v>
      </c>
      <c r="Z24" s="100"/>
      <c r="AA24" s="100"/>
      <c r="AB24" s="111" t="s">
        <v>21</v>
      </c>
      <c r="AC24" s="115" t="n">
        <v>11</v>
      </c>
      <c r="AD24" s="113" t="n">
        <f aca="false">AC24/$AC$11</f>
        <v>0.0225872689938398</v>
      </c>
      <c r="AE24" s="116" t="n">
        <f aca="false">AE23+AD24</f>
        <v>0.392197125256674</v>
      </c>
      <c r="AF24" s="112" t="n">
        <v>2</v>
      </c>
      <c r="AG24" s="114"/>
    </row>
    <row r="25" customFormat="false" ht="15" hidden="false" customHeight="false" outlineLevel="0" collapsed="false">
      <c r="A25" s="94"/>
      <c r="B25" s="104"/>
      <c r="C25" s="101" t="s">
        <v>197</v>
      </c>
      <c r="D25" s="102"/>
      <c r="E25" s="100"/>
      <c r="F25" s="100"/>
      <c r="G25" s="100"/>
      <c r="H25" s="100"/>
      <c r="I25" s="100"/>
      <c r="J25" s="100" t="n">
        <v>3</v>
      </c>
      <c r="K25" s="100"/>
      <c r="L25" s="100"/>
      <c r="M25" s="100"/>
      <c r="N25" s="100"/>
      <c r="O25" s="100"/>
      <c r="P25" s="100"/>
      <c r="Q25" s="103"/>
      <c r="R25" s="100"/>
      <c r="T25" s="100"/>
      <c r="U25" s="102" t="n">
        <f aca="false">SUM(C25:Q25)</f>
        <v>3</v>
      </c>
      <c r="V25" s="100" t="n">
        <v>2</v>
      </c>
      <c r="W25" s="100" t="n">
        <v>2.5</v>
      </c>
      <c r="X25" s="100" t="n">
        <v>0</v>
      </c>
      <c r="Y25" s="103" t="n">
        <f aca="false">SUM(U25:X25)</f>
        <v>7.5</v>
      </c>
      <c r="Z25" s="100"/>
      <c r="AA25" s="100"/>
      <c r="AB25" s="90"/>
      <c r="AC25" s="117" t="n">
        <f aca="false">SUM(AC13:AC24)</f>
        <v>191</v>
      </c>
      <c r="AD25" s="118" t="n">
        <f aca="false">SUM(AC25/AC11)</f>
        <v>0.392197125256674</v>
      </c>
      <c r="AE25" s="100"/>
      <c r="AF25" s="107" t="n">
        <f aca="false">SUM(AF13:AF24)</f>
        <v>24</v>
      </c>
      <c r="AG25" s="100"/>
    </row>
    <row r="26" customFormat="false" ht="15" hidden="false" customHeight="false" outlineLevel="0" collapsed="false">
      <c r="A26" s="94"/>
      <c r="B26" s="104" t="n">
        <v>7</v>
      </c>
      <c r="C26" s="101" t="s">
        <v>198</v>
      </c>
      <c r="D26" s="102"/>
      <c r="E26" s="100"/>
      <c r="F26" s="100"/>
      <c r="G26" s="100"/>
      <c r="H26" s="100"/>
      <c r="I26" s="100"/>
      <c r="J26" s="100" t="n">
        <v>3</v>
      </c>
      <c r="K26" s="100"/>
      <c r="L26" s="100"/>
      <c r="M26" s="100"/>
      <c r="N26" s="100"/>
      <c r="O26" s="100"/>
      <c r="P26" s="100"/>
      <c r="Q26" s="103"/>
      <c r="R26" s="100" t="n">
        <v>2</v>
      </c>
      <c r="S26" s="100"/>
      <c r="T26" s="100"/>
      <c r="U26" s="102" t="n">
        <f aca="false">SUM(C26:Q26)</f>
        <v>3</v>
      </c>
      <c r="V26" s="100" t="n">
        <v>2</v>
      </c>
      <c r="W26" s="100" t="n">
        <v>2.5</v>
      </c>
      <c r="X26" s="100" t="n">
        <v>0</v>
      </c>
      <c r="Y26" s="103" t="n">
        <f aca="false">SUM(U26:X26)</f>
        <v>7.5</v>
      </c>
      <c r="Z26" s="100"/>
      <c r="AA26" s="100"/>
      <c r="AB26" s="90"/>
      <c r="AC26" s="108" t="s">
        <v>182</v>
      </c>
      <c r="AD26" s="108" t="s">
        <v>183</v>
      </c>
      <c r="AE26" s="109" t="s">
        <v>184</v>
      </c>
      <c r="AF26" s="100"/>
      <c r="AG26" s="100"/>
    </row>
    <row r="27" customFormat="false" ht="15" hidden="false" customHeight="false" outlineLevel="0" collapsed="false">
      <c r="A27" s="94"/>
      <c r="B27" s="104"/>
      <c r="C27" s="101" t="s">
        <v>199</v>
      </c>
      <c r="D27" s="102"/>
      <c r="E27" s="100"/>
      <c r="F27" s="100"/>
      <c r="G27" s="100"/>
      <c r="H27" s="100"/>
      <c r="I27" s="100"/>
      <c r="J27" s="100" t="n">
        <v>3</v>
      </c>
      <c r="K27" s="100"/>
      <c r="L27" s="100"/>
      <c r="M27" s="100"/>
      <c r="N27" s="100"/>
      <c r="O27" s="100"/>
      <c r="P27" s="100"/>
      <c r="Q27" s="103"/>
      <c r="R27" s="100"/>
      <c r="S27" s="100"/>
      <c r="T27" s="100"/>
      <c r="U27" s="102" t="n">
        <f aca="false">SUM(C27:Q27)</f>
        <v>3</v>
      </c>
      <c r="V27" s="100" t="n">
        <v>2</v>
      </c>
      <c r="W27" s="100" t="n">
        <v>2.5</v>
      </c>
      <c r="X27" s="100" t="n">
        <v>0</v>
      </c>
      <c r="Y27" s="103" t="n">
        <f aca="false">SUM(U27:X27)</f>
        <v>7.5</v>
      </c>
      <c r="Z27" s="100"/>
      <c r="AA27" s="100"/>
      <c r="AB27" s="119" t="s">
        <v>200</v>
      </c>
      <c r="AC27" s="112" t="n">
        <v>10</v>
      </c>
      <c r="AD27" s="120" t="n">
        <v>0.2</v>
      </c>
      <c r="AE27" s="113" t="n">
        <v>0.2</v>
      </c>
    </row>
    <row r="28" customFormat="false" ht="15" hidden="false" customHeight="false" outlineLevel="0" collapsed="false">
      <c r="A28" s="94"/>
      <c r="B28" s="104"/>
      <c r="C28" s="101" t="s">
        <v>201</v>
      </c>
      <c r="D28" s="102"/>
      <c r="E28" s="100"/>
      <c r="F28" s="100"/>
      <c r="G28" s="100"/>
      <c r="H28" s="100"/>
      <c r="I28" s="100"/>
      <c r="J28" s="100" t="n">
        <v>3</v>
      </c>
      <c r="K28" s="100"/>
      <c r="L28" s="100"/>
      <c r="M28" s="100"/>
      <c r="N28" s="100"/>
      <c r="O28" s="100"/>
      <c r="P28" s="100"/>
      <c r="Q28" s="103"/>
      <c r="R28" s="100"/>
      <c r="S28" s="100"/>
      <c r="T28" s="100"/>
      <c r="U28" s="102" t="n">
        <f aca="false">SUM(C28:Q28)</f>
        <v>3</v>
      </c>
      <c r="V28" s="100" t="n">
        <v>2</v>
      </c>
      <c r="W28" s="100" t="n">
        <v>2.5</v>
      </c>
      <c r="X28" s="100" t="n">
        <v>0</v>
      </c>
      <c r="Y28" s="103" t="n">
        <f aca="false">SUM(U28:X28)</f>
        <v>7.5</v>
      </c>
      <c r="Z28" s="100"/>
      <c r="AA28" s="100"/>
      <c r="AB28" s="119" t="s">
        <v>202</v>
      </c>
      <c r="AC28" s="112" t="n">
        <v>10</v>
      </c>
      <c r="AD28" s="120" t="n">
        <v>0.2</v>
      </c>
      <c r="AE28" s="113" t="n">
        <v>0.4</v>
      </c>
    </row>
    <row r="29" customFormat="false" ht="15" hidden="false" customHeight="false" outlineLevel="0" collapsed="false">
      <c r="A29" s="94"/>
      <c r="B29" s="104"/>
      <c r="C29" s="101" t="s">
        <v>203</v>
      </c>
      <c r="D29" s="102"/>
      <c r="E29" s="100"/>
      <c r="F29" s="100"/>
      <c r="G29" s="100"/>
      <c r="H29" s="100"/>
      <c r="I29" s="100"/>
      <c r="J29" s="107" t="n">
        <v>3</v>
      </c>
      <c r="L29" s="100"/>
      <c r="M29" s="100"/>
      <c r="N29" s="100"/>
      <c r="O29" s="100"/>
      <c r="P29" s="100"/>
      <c r="Q29" s="103"/>
      <c r="R29" s="100"/>
      <c r="S29" s="100"/>
      <c r="T29" s="100"/>
      <c r="U29" s="102" t="n">
        <f aca="false">SUM(C29:Q29)</f>
        <v>3</v>
      </c>
      <c r="V29" s="100" t="n">
        <v>2</v>
      </c>
      <c r="W29" s="100" t="n">
        <v>2.5</v>
      </c>
      <c r="X29" s="100" t="n">
        <v>0</v>
      </c>
      <c r="Y29" s="103" t="n">
        <f aca="false">SUM(U29:X29)</f>
        <v>7.5</v>
      </c>
      <c r="Z29" s="100" t="s">
        <v>204</v>
      </c>
      <c r="AA29" s="100"/>
      <c r="AB29" s="119" t="s">
        <v>205</v>
      </c>
      <c r="AC29" s="112" t="n">
        <v>10</v>
      </c>
      <c r="AD29" s="120" t="n">
        <v>0.2</v>
      </c>
      <c r="AE29" s="113" t="n">
        <v>0.6</v>
      </c>
    </row>
    <row r="30" customFormat="false" ht="15" hidden="false" customHeight="false" outlineLevel="0" collapsed="false">
      <c r="A30" s="94"/>
      <c r="B30" s="104" t="n">
        <v>8</v>
      </c>
      <c r="C30" s="101" t="s">
        <v>206</v>
      </c>
      <c r="D30" s="102"/>
      <c r="E30" s="100"/>
      <c r="F30" s="100"/>
      <c r="G30" s="100"/>
      <c r="H30" s="100"/>
      <c r="I30" s="100"/>
      <c r="J30" s="100"/>
      <c r="K30" s="1" t="n">
        <v>3</v>
      </c>
      <c r="L30" s="100"/>
      <c r="M30" s="100"/>
      <c r="N30" s="100"/>
      <c r="O30" s="100"/>
      <c r="P30" s="100"/>
      <c r="Q30" s="103"/>
      <c r="R30" s="100" t="n">
        <v>2</v>
      </c>
      <c r="T30" s="100"/>
      <c r="U30" s="102" t="n">
        <f aca="false">SUM(C30:Q30)</f>
        <v>3</v>
      </c>
      <c r="V30" s="100" t="n">
        <v>2</v>
      </c>
      <c r="W30" s="100" t="n">
        <v>2.5</v>
      </c>
      <c r="X30" s="100" t="n">
        <v>2</v>
      </c>
      <c r="Y30" s="103" t="n">
        <f aca="false">SUM(U30:X30)</f>
        <v>9.5</v>
      </c>
      <c r="AA30" s="100"/>
      <c r="AB30" s="119" t="s">
        <v>207</v>
      </c>
      <c r="AC30" s="112" t="n">
        <v>10</v>
      </c>
      <c r="AD30" s="120" t="n">
        <v>0.2</v>
      </c>
      <c r="AE30" s="113" t="n">
        <v>0.8</v>
      </c>
    </row>
    <row r="31" customFormat="false" ht="15" hidden="false" customHeight="false" outlineLevel="0" collapsed="false">
      <c r="A31" s="94"/>
      <c r="B31" s="104"/>
      <c r="C31" s="101" t="s">
        <v>208</v>
      </c>
      <c r="D31" s="102"/>
      <c r="E31" s="100"/>
      <c r="F31" s="100"/>
      <c r="G31" s="100"/>
      <c r="H31" s="100"/>
      <c r="I31" s="100"/>
      <c r="J31" s="100"/>
      <c r="K31" s="100" t="n">
        <v>3</v>
      </c>
      <c r="M31" s="100"/>
      <c r="N31" s="100"/>
      <c r="O31" s="100"/>
      <c r="P31" s="100"/>
      <c r="Q31" s="103"/>
      <c r="R31" s="100"/>
      <c r="S31" s="100"/>
      <c r="T31" s="100"/>
      <c r="U31" s="102" t="n">
        <f aca="false">SUM(C31:Q31)</f>
        <v>3</v>
      </c>
      <c r="V31" s="100" t="n">
        <v>2</v>
      </c>
      <c r="W31" s="100" t="n">
        <v>2.5</v>
      </c>
      <c r="X31" s="100" t="n">
        <v>0</v>
      </c>
      <c r="Y31" s="103" t="n">
        <f aca="false">SUM(U31:X31)</f>
        <v>7.5</v>
      </c>
      <c r="Z31" s="100"/>
      <c r="AA31" s="100"/>
      <c r="AB31" s="119" t="s">
        <v>209</v>
      </c>
      <c r="AC31" s="115" t="n">
        <v>10</v>
      </c>
      <c r="AD31" s="121" t="n">
        <v>0.2</v>
      </c>
      <c r="AE31" s="116" t="n">
        <v>1</v>
      </c>
    </row>
    <row r="32" customFormat="false" ht="15" hidden="false" customHeight="false" outlineLevel="0" collapsed="false">
      <c r="A32" s="94"/>
      <c r="B32" s="104"/>
      <c r="C32" s="101" t="s">
        <v>210</v>
      </c>
      <c r="D32" s="102"/>
      <c r="E32" s="100"/>
      <c r="F32" s="100"/>
      <c r="G32" s="100"/>
      <c r="H32" s="100"/>
      <c r="I32" s="100"/>
      <c r="J32" s="100"/>
      <c r="K32" s="100" t="n">
        <v>3</v>
      </c>
      <c r="M32" s="100"/>
      <c r="N32" s="100"/>
      <c r="O32" s="100"/>
      <c r="P32" s="100"/>
      <c r="Q32" s="103"/>
      <c r="R32" s="100"/>
      <c r="T32" s="100"/>
      <c r="U32" s="102" t="n">
        <f aca="false">SUM(C32:Q32)</f>
        <v>3</v>
      </c>
      <c r="V32" s="100" t="n">
        <v>2</v>
      </c>
      <c r="W32" s="100" t="n">
        <v>2.5</v>
      </c>
      <c r="X32" s="100" t="n">
        <v>0</v>
      </c>
      <c r="Y32" s="103" t="n">
        <f aca="false">SUM(U32:X32)</f>
        <v>7.5</v>
      </c>
      <c r="Z32" s="100"/>
      <c r="AA32" s="100"/>
      <c r="AC32" s="40" t="n">
        <f aca="false">SUM(AC27:AC31)</f>
        <v>50</v>
      </c>
      <c r="AD32" s="122" t="n">
        <f aca="false">SUM(AD27:AD31)</f>
        <v>1</v>
      </c>
    </row>
    <row r="33" customFormat="false" ht="15" hidden="false" customHeight="false" outlineLevel="0" collapsed="false">
      <c r="A33" s="94"/>
      <c r="B33" s="104"/>
      <c r="C33" s="101" t="s">
        <v>211</v>
      </c>
      <c r="D33" s="102"/>
      <c r="E33" s="100"/>
      <c r="F33" s="100"/>
      <c r="G33" s="100"/>
      <c r="H33" s="100"/>
      <c r="I33" s="100"/>
      <c r="J33" s="100"/>
      <c r="K33" s="100"/>
      <c r="L33" s="100" t="n">
        <v>3</v>
      </c>
      <c r="M33" s="100"/>
      <c r="N33" s="100"/>
      <c r="O33" s="100"/>
      <c r="P33" s="100"/>
      <c r="Q33" s="103"/>
      <c r="R33" s="100"/>
      <c r="S33" s="110" t="s">
        <v>187</v>
      </c>
      <c r="T33" s="100"/>
      <c r="U33" s="102" t="n">
        <f aca="false">SUM(C33:Q33)</f>
        <v>3</v>
      </c>
      <c r="V33" s="100" t="n">
        <v>2</v>
      </c>
      <c r="W33" s="100" t="n">
        <v>2.5</v>
      </c>
      <c r="X33" s="100" t="n">
        <v>0</v>
      </c>
      <c r="Y33" s="103" t="n">
        <f aca="false">SUM(U33:X33)</f>
        <v>7.5</v>
      </c>
      <c r="Z33" s="100"/>
      <c r="AA33" s="100"/>
    </row>
    <row r="34" customFormat="false" ht="15" hidden="false" customHeight="false" outlineLevel="0" collapsed="false">
      <c r="A34" s="94"/>
      <c r="B34" s="104" t="n">
        <v>9</v>
      </c>
      <c r="C34" s="101" t="s">
        <v>212</v>
      </c>
      <c r="D34" s="102"/>
      <c r="E34" s="100"/>
      <c r="F34" s="100"/>
      <c r="G34" s="100"/>
      <c r="H34" s="100"/>
      <c r="I34" s="100"/>
      <c r="J34" s="100"/>
      <c r="K34" s="100"/>
      <c r="L34" s="100" t="n">
        <v>3</v>
      </c>
      <c r="N34" s="100"/>
      <c r="O34" s="100"/>
      <c r="P34" s="100"/>
      <c r="Q34" s="103"/>
      <c r="R34" s="100" t="n">
        <v>2</v>
      </c>
      <c r="T34" s="100"/>
      <c r="U34" s="102" t="n">
        <f aca="false">SUM(C34:Q34)</f>
        <v>3</v>
      </c>
      <c r="V34" s="100" t="n">
        <v>2</v>
      </c>
      <c r="W34" s="100" t="n">
        <v>2.5</v>
      </c>
      <c r="X34" s="100" t="n">
        <v>2</v>
      </c>
      <c r="Y34" s="103" t="n">
        <f aca="false">SUM(U34:X34)</f>
        <v>9.5</v>
      </c>
      <c r="Z34" s="100"/>
      <c r="AA34" s="100"/>
    </row>
    <row r="35" customFormat="false" ht="15" hidden="false" customHeight="false" outlineLevel="0" collapsed="false">
      <c r="A35" s="94"/>
      <c r="B35" s="104"/>
      <c r="C35" s="101" t="s">
        <v>213</v>
      </c>
      <c r="D35" s="102"/>
      <c r="E35" s="100"/>
      <c r="F35" s="100"/>
      <c r="G35" s="100"/>
      <c r="H35" s="100"/>
      <c r="I35" s="100"/>
      <c r="J35" s="100"/>
      <c r="K35" s="100"/>
      <c r="L35" s="100" t="n">
        <v>3</v>
      </c>
      <c r="N35" s="100"/>
      <c r="O35" s="100"/>
      <c r="P35" s="100"/>
      <c r="Q35" s="103"/>
      <c r="R35" s="100"/>
      <c r="S35" s="100"/>
      <c r="T35" s="100"/>
      <c r="U35" s="102" t="n">
        <f aca="false">SUM(C35:Q35)</f>
        <v>3</v>
      </c>
      <c r="V35" s="100" t="n">
        <v>2</v>
      </c>
      <c r="W35" s="100" t="n">
        <v>2.5</v>
      </c>
      <c r="X35" s="100" t="n">
        <v>0</v>
      </c>
      <c r="Y35" s="103" t="n">
        <f aca="false">SUM(U35:X35)</f>
        <v>7.5</v>
      </c>
      <c r="Z35" s="100"/>
      <c r="AA35" s="100"/>
    </row>
    <row r="36" customFormat="false" ht="15" hidden="false" customHeight="false" outlineLevel="0" collapsed="false">
      <c r="A36" s="94"/>
      <c r="B36" s="104"/>
      <c r="C36" s="101" t="s">
        <v>214</v>
      </c>
      <c r="D36" s="102"/>
      <c r="E36" s="100"/>
      <c r="F36" s="100"/>
      <c r="G36" s="100"/>
      <c r="H36" s="100"/>
      <c r="I36" s="100"/>
      <c r="J36" s="100"/>
      <c r="K36" s="100"/>
      <c r="L36" s="107" t="n">
        <v>3</v>
      </c>
      <c r="N36" s="100"/>
      <c r="O36" s="100"/>
      <c r="P36" s="100"/>
      <c r="Q36" s="103"/>
      <c r="R36" s="100"/>
      <c r="S36" s="100"/>
      <c r="T36" s="100"/>
      <c r="U36" s="102" t="n">
        <f aca="false">SUM(C36:Q36)</f>
        <v>3</v>
      </c>
      <c r="V36" s="100" t="n">
        <v>2</v>
      </c>
      <c r="W36" s="100" t="n">
        <v>2.5</v>
      </c>
      <c r="X36" s="100" t="n">
        <v>0</v>
      </c>
      <c r="Y36" s="103" t="n">
        <f aca="false">SUM(U36:X36)</f>
        <v>7.5</v>
      </c>
      <c r="Z36" s="100" t="s">
        <v>204</v>
      </c>
      <c r="AA36" s="100"/>
    </row>
    <row r="37" customFormat="false" ht="15" hidden="false" customHeight="false" outlineLevel="0" collapsed="false">
      <c r="A37" s="94"/>
      <c r="B37" s="104"/>
      <c r="C37" s="101" t="s">
        <v>215</v>
      </c>
      <c r="D37" s="102"/>
      <c r="E37" s="100"/>
      <c r="F37" s="100"/>
      <c r="G37" s="100"/>
      <c r="H37" s="100"/>
      <c r="I37" s="100"/>
      <c r="J37" s="100"/>
      <c r="K37" s="100"/>
      <c r="M37" s="100" t="n">
        <v>3</v>
      </c>
      <c r="N37" s="100"/>
      <c r="O37" s="100"/>
      <c r="P37" s="100"/>
      <c r="Q37" s="103"/>
      <c r="R37" s="100"/>
      <c r="S37" s="100"/>
      <c r="T37" s="100"/>
      <c r="U37" s="102" t="n">
        <f aca="false">SUM(C37:Q37)</f>
        <v>3</v>
      </c>
      <c r="V37" s="100" t="n">
        <v>2</v>
      </c>
      <c r="W37" s="100" t="n">
        <v>2.5</v>
      </c>
      <c r="X37" s="100" t="n">
        <v>0</v>
      </c>
      <c r="Y37" s="103" t="n">
        <f aca="false">SUM(U37:X37)</f>
        <v>7.5</v>
      </c>
      <c r="Z37" s="100"/>
      <c r="AA37" s="100"/>
    </row>
    <row r="38" customFormat="false" ht="15" hidden="false" customHeight="false" outlineLevel="0" collapsed="false">
      <c r="A38" s="94"/>
      <c r="B38" s="104" t="n">
        <v>10</v>
      </c>
      <c r="C38" s="101" t="s">
        <v>216</v>
      </c>
      <c r="D38" s="102"/>
      <c r="E38" s="100"/>
      <c r="F38" s="100"/>
      <c r="G38" s="100"/>
      <c r="H38" s="100"/>
      <c r="I38" s="100"/>
      <c r="J38" s="100"/>
      <c r="K38" s="100"/>
      <c r="L38" s="100"/>
      <c r="M38" s="100" t="n">
        <v>3</v>
      </c>
      <c r="N38" s="100"/>
      <c r="O38" s="100"/>
      <c r="P38" s="100"/>
      <c r="Q38" s="103"/>
      <c r="R38" s="100" t="n">
        <v>2</v>
      </c>
      <c r="T38" s="100"/>
      <c r="U38" s="102" t="n">
        <f aca="false">SUM(C38:Q38)</f>
        <v>3</v>
      </c>
      <c r="V38" s="100" t="n">
        <v>2</v>
      </c>
      <c r="W38" s="100" t="n">
        <v>2.5</v>
      </c>
      <c r="X38" s="100" t="n">
        <v>2</v>
      </c>
      <c r="Y38" s="103" t="n">
        <f aca="false">SUM(U38:X38)</f>
        <v>9.5</v>
      </c>
      <c r="Z38" s="100"/>
      <c r="AA38" s="100"/>
      <c r="AH38" s="100"/>
    </row>
    <row r="39" customFormat="false" ht="15" hidden="false" customHeight="false" outlineLevel="0" collapsed="false">
      <c r="A39" s="94"/>
      <c r="B39" s="104"/>
      <c r="C39" s="101" t="s">
        <v>217</v>
      </c>
      <c r="D39" s="102"/>
      <c r="E39" s="100"/>
      <c r="F39" s="100"/>
      <c r="G39" s="100"/>
      <c r="H39" s="100"/>
      <c r="I39" s="100"/>
      <c r="J39" s="100"/>
      <c r="K39" s="100"/>
      <c r="L39" s="100"/>
      <c r="M39" s="100" t="n">
        <v>3</v>
      </c>
      <c r="N39" s="100"/>
      <c r="O39" s="100"/>
      <c r="P39" s="100"/>
      <c r="Q39" s="103"/>
      <c r="R39" s="100"/>
      <c r="S39" s="100"/>
      <c r="T39" s="100"/>
      <c r="U39" s="102" t="n">
        <f aca="false">SUM(C39:Q39)</f>
        <v>3</v>
      </c>
      <c r="V39" s="100" t="n">
        <v>2</v>
      </c>
      <c r="W39" s="100" t="n">
        <v>2.5</v>
      </c>
      <c r="X39" s="100" t="n">
        <v>0</v>
      </c>
      <c r="Y39" s="103" t="n">
        <f aca="false">SUM(U39:X39)</f>
        <v>7.5</v>
      </c>
      <c r="Z39" s="100"/>
      <c r="AA39" s="100"/>
      <c r="AH39" s="100"/>
    </row>
    <row r="40" customFormat="false" ht="15" hidden="false" customHeight="false" outlineLevel="0" collapsed="false">
      <c r="A40" s="94"/>
      <c r="B40" s="104"/>
      <c r="C40" s="101" t="s">
        <v>218</v>
      </c>
      <c r="D40" s="102"/>
      <c r="E40" s="100"/>
      <c r="F40" s="100"/>
      <c r="G40" s="100"/>
      <c r="H40" s="100"/>
      <c r="I40" s="100"/>
      <c r="J40" s="100"/>
      <c r="K40" s="100"/>
      <c r="L40" s="100"/>
      <c r="M40" s="100" t="n">
        <v>3</v>
      </c>
      <c r="O40" s="100"/>
      <c r="P40" s="100"/>
      <c r="Q40" s="103"/>
      <c r="R40" s="100"/>
      <c r="S40" s="100"/>
      <c r="T40" s="100"/>
      <c r="U40" s="102" t="n">
        <f aca="false">SUM(C40:Q40)</f>
        <v>3</v>
      </c>
      <c r="V40" s="100" t="n">
        <v>2</v>
      </c>
      <c r="W40" s="100" t="n">
        <v>2.5</v>
      </c>
      <c r="X40" s="100" t="n">
        <v>0</v>
      </c>
      <c r="Y40" s="103" t="n">
        <f aca="false">SUM(U40:X40)</f>
        <v>7.5</v>
      </c>
      <c r="Z40" s="100"/>
      <c r="AA40" s="100"/>
      <c r="AH40" s="100"/>
    </row>
    <row r="41" customFormat="false" ht="15" hidden="false" customHeight="false" outlineLevel="0" collapsed="false">
      <c r="A41" s="94"/>
      <c r="B41" s="104"/>
      <c r="C41" s="101" t="s">
        <v>219</v>
      </c>
      <c r="D41" s="102"/>
      <c r="E41" s="100"/>
      <c r="F41" s="100"/>
      <c r="G41" s="100"/>
      <c r="H41" s="100"/>
      <c r="I41" s="100"/>
      <c r="J41" s="100"/>
      <c r="K41" s="100"/>
      <c r="L41" s="100"/>
      <c r="M41" s="100" t="n">
        <v>3</v>
      </c>
      <c r="O41" s="100"/>
      <c r="P41" s="100"/>
      <c r="Q41" s="103"/>
      <c r="R41" s="100"/>
      <c r="S41" s="100"/>
      <c r="T41" s="100"/>
      <c r="U41" s="102" t="n">
        <f aca="false">SUM(C41:Q41)</f>
        <v>3</v>
      </c>
      <c r="V41" s="100" t="n">
        <v>2</v>
      </c>
      <c r="W41" s="100" t="n">
        <v>2.5</v>
      </c>
      <c r="X41" s="100" t="n">
        <v>0</v>
      </c>
      <c r="Y41" s="103" t="n">
        <f aca="false">SUM(U41:X41)</f>
        <v>7.5</v>
      </c>
      <c r="Z41" s="100"/>
      <c r="AA41" s="100"/>
      <c r="AB41" s="100"/>
      <c r="AC41" s="100"/>
      <c r="AD41" s="100"/>
      <c r="AE41" s="100"/>
      <c r="AF41" s="100"/>
      <c r="AG41" s="100"/>
      <c r="AH41" s="100"/>
    </row>
    <row r="42" customFormat="false" ht="15" hidden="false" customHeight="false" outlineLevel="0" collapsed="false">
      <c r="A42" s="94"/>
      <c r="B42" s="104" t="n">
        <v>11</v>
      </c>
      <c r="C42" s="101" t="s">
        <v>220</v>
      </c>
      <c r="D42" s="102"/>
      <c r="E42" s="100"/>
      <c r="F42" s="100"/>
      <c r="G42" s="100"/>
      <c r="H42" s="100"/>
      <c r="I42" s="100"/>
      <c r="J42" s="100"/>
      <c r="K42" s="100"/>
      <c r="L42" s="100"/>
      <c r="M42" s="100" t="n">
        <v>6</v>
      </c>
      <c r="O42" s="100"/>
      <c r="P42" s="100"/>
      <c r="Q42" s="103"/>
      <c r="R42" s="100" t="n">
        <v>2</v>
      </c>
      <c r="T42" s="100"/>
      <c r="U42" s="102" t="n">
        <f aca="false">SUM(C42:Q42)</f>
        <v>6</v>
      </c>
      <c r="V42" s="100" t="n">
        <v>2</v>
      </c>
      <c r="W42" s="100" t="n">
        <v>2.5</v>
      </c>
      <c r="X42" s="100" t="n">
        <v>0</v>
      </c>
      <c r="Y42" s="103" t="n">
        <f aca="false">SUM(U42:X42)</f>
        <v>10.5</v>
      </c>
      <c r="Z42" s="100"/>
      <c r="AA42" s="100"/>
      <c r="AB42" s="100"/>
      <c r="AC42" s="100"/>
      <c r="AD42" s="100"/>
      <c r="AE42" s="100"/>
      <c r="AF42" s="100"/>
      <c r="AG42" s="100"/>
      <c r="AH42" s="100"/>
    </row>
    <row r="43" customFormat="false" ht="15" hidden="false" customHeight="false" outlineLevel="0" collapsed="false">
      <c r="A43" s="94"/>
      <c r="B43" s="104"/>
      <c r="C43" s="101" t="s">
        <v>221</v>
      </c>
      <c r="D43" s="102"/>
      <c r="E43" s="100"/>
      <c r="F43" s="100"/>
      <c r="G43" s="100"/>
      <c r="H43" s="100"/>
      <c r="I43" s="100"/>
      <c r="J43" s="100"/>
      <c r="K43" s="100"/>
      <c r="L43" s="100"/>
      <c r="M43" s="100"/>
      <c r="N43" s="100" t="n">
        <v>3</v>
      </c>
      <c r="O43" s="100"/>
      <c r="P43" s="100"/>
      <c r="Q43" s="103"/>
      <c r="R43" s="100"/>
      <c r="S43" s="110" t="s">
        <v>187</v>
      </c>
      <c r="T43" s="100"/>
      <c r="U43" s="102" t="n">
        <f aca="false">SUM(C43:Q43)</f>
        <v>3</v>
      </c>
      <c r="V43" s="100" t="n">
        <v>2</v>
      </c>
      <c r="W43" s="100" t="n">
        <v>2.5</v>
      </c>
      <c r="X43" s="100" t="n">
        <v>0</v>
      </c>
      <c r="Y43" s="103" t="n">
        <f aca="false">SUM(U43:X43)</f>
        <v>7.5</v>
      </c>
      <c r="Z43" s="100"/>
      <c r="AA43" s="100"/>
      <c r="AB43" s="100"/>
      <c r="AC43" s="100"/>
      <c r="AD43" s="100"/>
      <c r="AE43" s="100"/>
      <c r="AF43" s="100"/>
      <c r="AG43" s="100"/>
      <c r="AH43" s="100"/>
    </row>
    <row r="44" customFormat="false" ht="15" hidden="false" customHeight="false" outlineLevel="0" collapsed="false">
      <c r="A44" s="94"/>
      <c r="B44" s="104"/>
      <c r="C44" s="101" t="s">
        <v>222</v>
      </c>
      <c r="D44" s="102"/>
      <c r="E44" s="100"/>
      <c r="F44" s="100"/>
      <c r="G44" s="100"/>
      <c r="H44" s="100"/>
      <c r="I44" s="100"/>
      <c r="J44" s="100"/>
      <c r="K44" s="100"/>
      <c r="L44" s="100"/>
      <c r="M44" s="100"/>
      <c r="N44" s="100" t="n">
        <v>3</v>
      </c>
      <c r="O44" s="100"/>
      <c r="P44" s="100"/>
      <c r="Q44" s="103"/>
      <c r="R44" s="100"/>
      <c r="T44" s="100"/>
      <c r="U44" s="102" t="n">
        <f aca="false">SUM(C44:Q44)</f>
        <v>3</v>
      </c>
      <c r="V44" s="100" t="n">
        <v>2</v>
      </c>
      <c r="W44" s="100" t="n">
        <v>2.5</v>
      </c>
      <c r="X44" s="100" t="n">
        <v>0</v>
      </c>
      <c r="Y44" s="103" t="n">
        <f aca="false">SUM(U44:X44)</f>
        <v>7.5</v>
      </c>
      <c r="Z44" s="100"/>
      <c r="AA44" s="100"/>
      <c r="AB44" s="100"/>
      <c r="AC44" s="100"/>
      <c r="AD44" s="100"/>
      <c r="AE44" s="100"/>
      <c r="AF44" s="100"/>
      <c r="AG44" s="100"/>
      <c r="AH44" s="100"/>
    </row>
    <row r="45" customFormat="false" ht="15" hidden="false" customHeight="false" outlineLevel="0" collapsed="false">
      <c r="A45" s="94"/>
      <c r="B45" s="104"/>
      <c r="C45" s="101" t="s">
        <v>223</v>
      </c>
      <c r="D45" s="102"/>
      <c r="E45" s="100"/>
      <c r="F45" s="100"/>
      <c r="G45" s="100"/>
      <c r="H45" s="100"/>
      <c r="I45" s="100"/>
      <c r="J45" s="100"/>
      <c r="K45" s="100"/>
      <c r="L45" s="100"/>
      <c r="M45" s="100"/>
      <c r="N45" s="100" t="n">
        <v>3</v>
      </c>
      <c r="P45" s="100"/>
      <c r="Q45" s="103"/>
      <c r="R45" s="100"/>
      <c r="S45" s="100"/>
      <c r="T45" s="100"/>
      <c r="U45" s="102" t="n">
        <f aca="false">SUM(C45:Q45)</f>
        <v>3</v>
      </c>
      <c r="V45" s="100" t="n">
        <v>2</v>
      </c>
      <c r="W45" s="100" t="n">
        <v>2.5</v>
      </c>
      <c r="X45" s="100" t="n">
        <v>0</v>
      </c>
      <c r="Y45" s="103" t="n">
        <f aca="false">SUM(U45:X45)</f>
        <v>7.5</v>
      </c>
      <c r="Z45" s="100"/>
      <c r="AA45" s="100"/>
      <c r="AB45" s="100"/>
      <c r="AC45" s="100"/>
      <c r="AD45" s="100"/>
      <c r="AE45" s="100"/>
      <c r="AF45" s="100"/>
      <c r="AG45" s="100"/>
      <c r="AH45" s="100"/>
    </row>
    <row r="46" customFormat="false" ht="15" hidden="false" customHeight="false" outlineLevel="0" collapsed="false">
      <c r="A46" s="94"/>
      <c r="B46" s="104" t="n">
        <v>12</v>
      </c>
      <c r="C46" s="101" t="s">
        <v>224</v>
      </c>
      <c r="D46" s="102"/>
      <c r="E46" s="100"/>
      <c r="F46" s="100"/>
      <c r="G46" s="100"/>
      <c r="H46" s="100"/>
      <c r="I46" s="100"/>
      <c r="J46" s="100"/>
      <c r="K46" s="100"/>
      <c r="L46" s="100"/>
      <c r="M46" s="100"/>
      <c r="N46" s="100" t="n">
        <v>3</v>
      </c>
      <c r="P46" s="100"/>
      <c r="Q46" s="103"/>
      <c r="R46" s="100" t="n">
        <v>2</v>
      </c>
      <c r="S46" s="100"/>
      <c r="T46" s="100"/>
      <c r="U46" s="102" t="n">
        <f aca="false">SUM(C46:Q46)</f>
        <v>3</v>
      </c>
      <c r="V46" s="100" t="n">
        <v>2</v>
      </c>
      <c r="W46" s="100" t="n">
        <v>2.5</v>
      </c>
      <c r="X46" s="100" t="n">
        <v>2</v>
      </c>
      <c r="Y46" s="103" t="n">
        <f aca="false">SUM(U46:X46)</f>
        <v>9.5</v>
      </c>
      <c r="Z46" s="100"/>
      <c r="AA46" s="100"/>
      <c r="AB46" s="100"/>
      <c r="AC46" s="100"/>
      <c r="AD46" s="100"/>
      <c r="AE46" s="100"/>
      <c r="AF46" s="100"/>
      <c r="AG46" s="100"/>
      <c r="AH46" s="100"/>
    </row>
    <row r="47" customFormat="false" ht="15" hidden="false" customHeight="false" outlineLevel="0" collapsed="false">
      <c r="A47" s="94"/>
      <c r="B47" s="104"/>
      <c r="C47" s="101" t="s">
        <v>225</v>
      </c>
      <c r="D47" s="102"/>
      <c r="E47" s="100"/>
      <c r="F47" s="100"/>
      <c r="G47" s="100"/>
      <c r="H47" s="100"/>
      <c r="I47" s="100"/>
      <c r="J47" s="100"/>
      <c r="K47" s="100"/>
      <c r="L47" s="100"/>
      <c r="M47" s="100"/>
      <c r="N47" s="100" t="n">
        <v>3</v>
      </c>
      <c r="P47" s="100"/>
      <c r="Q47" s="103"/>
      <c r="R47" s="100"/>
      <c r="S47" s="100"/>
      <c r="T47" s="100"/>
      <c r="U47" s="102" t="n">
        <f aca="false">SUM(C47:Q47)</f>
        <v>3</v>
      </c>
      <c r="V47" s="100" t="n">
        <v>2</v>
      </c>
      <c r="W47" s="100" t="n">
        <v>2.5</v>
      </c>
      <c r="X47" s="100" t="n">
        <v>0</v>
      </c>
      <c r="Y47" s="103" t="n">
        <f aca="false">SUM(U47:X47)</f>
        <v>7.5</v>
      </c>
      <c r="Z47" s="100"/>
      <c r="AA47" s="100"/>
      <c r="AB47" s="100"/>
      <c r="AC47" s="100"/>
      <c r="AD47" s="100"/>
      <c r="AE47" s="100"/>
      <c r="AF47" s="100"/>
      <c r="AG47" s="100"/>
      <c r="AH47" s="100"/>
    </row>
    <row r="48" customFormat="false" ht="15" hidden="false" customHeight="false" outlineLevel="0" collapsed="false">
      <c r="A48" s="94"/>
      <c r="B48" s="104"/>
      <c r="C48" s="101" t="s">
        <v>226</v>
      </c>
      <c r="D48" s="102"/>
      <c r="E48" s="100"/>
      <c r="F48" s="100"/>
      <c r="G48" s="100"/>
      <c r="H48" s="100"/>
      <c r="I48" s="100"/>
      <c r="J48" s="100"/>
      <c r="K48" s="100"/>
      <c r="L48" s="100"/>
      <c r="M48" s="100"/>
      <c r="N48" s="107" t="n">
        <v>3</v>
      </c>
      <c r="P48" s="100"/>
      <c r="Q48" s="103"/>
      <c r="R48" s="100"/>
      <c r="S48" s="100"/>
      <c r="T48" s="100"/>
      <c r="U48" s="102" t="n">
        <f aca="false">SUM(C48:Q48)</f>
        <v>3</v>
      </c>
      <c r="V48" s="100" t="n">
        <v>2</v>
      </c>
      <c r="W48" s="100" t="n">
        <v>2.5</v>
      </c>
      <c r="X48" s="100" t="n">
        <v>2</v>
      </c>
      <c r="Y48" s="103" t="n">
        <f aca="false">SUM(U48:X48)</f>
        <v>9.5</v>
      </c>
      <c r="Z48" s="100" t="s">
        <v>204</v>
      </c>
      <c r="AA48" s="100"/>
      <c r="AB48" s="100"/>
      <c r="AC48" s="100"/>
      <c r="AD48" s="100"/>
      <c r="AE48" s="100"/>
      <c r="AF48" s="100"/>
      <c r="AG48" s="100"/>
      <c r="AH48" s="100"/>
    </row>
    <row r="49" customFormat="false" ht="15" hidden="false" customHeight="false" outlineLevel="0" collapsed="false">
      <c r="A49" s="94"/>
      <c r="B49" s="104"/>
      <c r="C49" s="101" t="s">
        <v>227</v>
      </c>
      <c r="D49" s="102"/>
      <c r="E49" s="100"/>
      <c r="F49" s="100"/>
      <c r="G49" s="100"/>
      <c r="H49" s="100"/>
      <c r="I49" s="100"/>
      <c r="J49" s="100"/>
      <c r="K49" s="100"/>
      <c r="L49" s="100"/>
      <c r="M49" s="100"/>
      <c r="N49" s="107"/>
      <c r="O49" s="100" t="n">
        <v>3</v>
      </c>
      <c r="P49" s="100"/>
      <c r="Q49" s="103"/>
      <c r="R49" s="100"/>
      <c r="T49" s="100"/>
      <c r="U49" s="102" t="n">
        <f aca="false">SUM(C49:Q49)</f>
        <v>3</v>
      </c>
      <c r="V49" s="100" t="n">
        <v>2</v>
      </c>
      <c r="W49" s="100" t="n">
        <v>2.5</v>
      </c>
      <c r="X49" s="100" t="n">
        <v>0</v>
      </c>
      <c r="Y49" s="103" t="n">
        <f aca="false">SUM(U49:X49)</f>
        <v>7.5</v>
      </c>
      <c r="Z49" s="100"/>
      <c r="AA49" s="100"/>
      <c r="AB49" s="100"/>
      <c r="AC49" s="100"/>
      <c r="AD49" s="100"/>
      <c r="AE49" s="100"/>
      <c r="AF49" s="100"/>
      <c r="AG49" s="100"/>
      <c r="AH49" s="100"/>
    </row>
    <row r="50" customFormat="false" ht="15" hidden="false" customHeight="false" outlineLevel="0" collapsed="false">
      <c r="A50" s="94"/>
      <c r="B50" s="104" t="n">
        <v>13</v>
      </c>
      <c r="C50" s="101" t="s">
        <v>228</v>
      </c>
      <c r="D50" s="102"/>
      <c r="E50" s="100"/>
      <c r="F50" s="100"/>
      <c r="G50" s="100"/>
      <c r="H50" s="100"/>
      <c r="I50" s="100"/>
      <c r="J50" s="100"/>
      <c r="K50" s="100"/>
      <c r="L50" s="100"/>
      <c r="M50" s="100"/>
      <c r="N50" s="100"/>
      <c r="O50" s="100" t="n">
        <v>3</v>
      </c>
      <c r="Q50" s="103"/>
      <c r="R50" s="100" t="n">
        <v>2</v>
      </c>
      <c r="S50" s="100"/>
      <c r="T50" s="100"/>
      <c r="U50" s="102" t="n">
        <f aca="false">SUM(C50:Q50)</f>
        <v>3</v>
      </c>
      <c r="V50" s="100" t="n">
        <v>2</v>
      </c>
      <c r="W50" s="100" t="n">
        <v>2.5</v>
      </c>
      <c r="X50" s="100" t="n">
        <v>0</v>
      </c>
      <c r="Y50" s="103" t="n">
        <f aca="false">SUM(U50:X50)</f>
        <v>7.5</v>
      </c>
      <c r="Z50" s="100"/>
      <c r="AA50" s="100"/>
      <c r="AB50" s="100"/>
      <c r="AC50" s="100"/>
      <c r="AD50" s="100"/>
      <c r="AE50" s="100"/>
      <c r="AF50" s="100"/>
      <c r="AG50" s="100"/>
      <c r="AH50" s="100"/>
    </row>
    <row r="51" customFormat="false" ht="15" hidden="false" customHeight="false" outlineLevel="0" collapsed="false">
      <c r="A51" s="94"/>
      <c r="B51" s="104"/>
      <c r="C51" s="101" t="s">
        <v>229</v>
      </c>
      <c r="D51" s="102"/>
      <c r="E51" s="100"/>
      <c r="F51" s="100"/>
      <c r="G51" s="100"/>
      <c r="H51" s="100"/>
      <c r="I51" s="100"/>
      <c r="J51" s="100"/>
      <c r="K51" s="100"/>
      <c r="L51" s="100"/>
      <c r="M51" s="100"/>
      <c r="N51" s="100"/>
      <c r="O51" s="100" t="n">
        <v>3</v>
      </c>
      <c r="Q51" s="103"/>
      <c r="R51" s="100"/>
      <c r="S51" s="100"/>
      <c r="T51" s="100"/>
      <c r="U51" s="102" t="n">
        <f aca="false">SUM(C51:Q51)</f>
        <v>3</v>
      </c>
      <c r="V51" s="100" t="n">
        <v>2</v>
      </c>
      <c r="W51" s="100" t="n">
        <v>2.5</v>
      </c>
      <c r="X51" s="100" t="n">
        <v>0</v>
      </c>
      <c r="Y51" s="103" t="n">
        <f aca="false">SUM(U51:X51)</f>
        <v>7.5</v>
      </c>
      <c r="Z51" s="100"/>
      <c r="AA51" s="100"/>
      <c r="AB51" s="100"/>
      <c r="AC51" s="100"/>
      <c r="AD51" s="100"/>
      <c r="AE51" s="100"/>
      <c r="AF51" s="100"/>
      <c r="AG51" s="100"/>
      <c r="AH51" s="100"/>
    </row>
    <row r="52" customFormat="false" ht="15" hidden="false" customHeight="false" outlineLevel="0" collapsed="false">
      <c r="A52" s="94"/>
      <c r="B52" s="104"/>
      <c r="C52" s="101" t="s">
        <v>230</v>
      </c>
      <c r="D52" s="102"/>
      <c r="E52" s="100"/>
      <c r="F52" s="100"/>
      <c r="G52" s="100"/>
      <c r="H52" s="100"/>
      <c r="I52" s="100"/>
      <c r="J52" s="100"/>
      <c r="K52" s="100"/>
      <c r="L52" s="100"/>
      <c r="M52" s="100"/>
      <c r="N52" s="100"/>
      <c r="O52" s="100" t="n">
        <v>3</v>
      </c>
      <c r="Q52" s="103"/>
      <c r="R52" s="100"/>
      <c r="T52" s="100"/>
      <c r="U52" s="102" t="n">
        <f aca="false">SUM(C52:Q52)</f>
        <v>3</v>
      </c>
      <c r="V52" s="100" t="n">
        <v>2</v>
      </c>
      <c r="W52" s="100" t="n">
        <v>2.5</v>
      </c>
      <c r="X52" s="100" t="n">
        <v>2</v>
      </c>
      <c r="Y52" s="103" t="n">
        <f aca="false">SUM(U52:X52)</f>
        <v>9.5</v>
      </c>
      <c r="Z52" s="100"/>
      <c r="AA52" s="100"/>
      <c r="AB52" s="100"/>
      <c r="AC52" s="100"/>
      <c r="AD52" s="100"/>
      <c r="AE52" s="100"/>
      <c r="AF52" s="100"/>
      <c r="AG52" s="100"/>
      <c r="AH52" s="100"/>
    </row>
    <row r="53" customFormat="false" ht="15" hidden="false" customHeight="false" outlineLevel="0" collapsed="false">
      <c r="A53" s="94"/>
      <c r="B53" s="104"/>
      <c r="C53" s="101" t="s">
        <v>231</v>
      </c>
      <c r="D53" s="102"/>
      <c r="E53" s="100"/>
      <c r="F53" s="100"/>
      <c r="G53" s="100"/>
      <c r="H53" s="100"/>
      <c r="I53" s="100"/>
      <c r="J53" s="100"/>
      <c r="K53" s="100"/>
      <c r="L53" s="100"/>
      <c r="M53" s="100"/>
      <c r="N53" s="100"/>
      <c r="O53" s="100" t="n">
        <v>3</v>
      </c>
      <c r="Q53" s="103"/>
      <c r="R53" s="100"/>
      <c r="S53" s="110"/>
      <c r="T53" s="100"/>
      <c r="U53" s="102" t="n">
        <f aca="false">SUM(C53:Q53)</f>
        <v>3</v>
      </c>
      <c r="V53" s="100" t="n">
        <v>2</v>
      </c>
      <c r="W53" s="100" t="n">
        <v>2.5</v>
      </c>
      <c r="X53" s="100" t="n">
        <v>0</v>
      </c>
      <c r="Y53" s="103" t="n">
        <f aca="false">SUM(U53:X53)</f>
        <v>7.5</v>
      </c>
      <c r="Z53" s="100"/>
      <c r="AA53" s="100"/>
      <c r="AB53" s="100"/>
      <c r="AC53" s="100"/>
      <c r="AD53" s="100"/>
      <c r="AE53" s="100"/>
      <c r="AF53" s="100"/>
      <c r="AG53" s="100"/>
      <c r="AH53" s="100"/>
    </row>
    <row r="54" customFormat="false" ht="15" hidden="false" customHeight="true" outlineLevel="0" collapsed="false">
      <c r="A54" s="94"/>
      <c r="B54" s="104" t="n">
        <v>14</v>
      </c>
      <c r="C54" s="101" t="s">
        <v>232</v>
      </c>
      <c r="D54" s="102"/>
      <c r="E54" s="100"/>
      <c r="F54" s="100"/>
      <c r="G54" s="100"/>
      <c r="H54" s="100"/>
      <c r="I54" s="100"/>
      <c r="J54" s="100"/>
      <c r="K54" s="100"/>
      <c r="L54" s="100"/>
      <c r="M54" s="100"/>
      <c r="N54" s="100"/>
      <c r="O54" s="100"/>
      <c r="P54" s="100" t="n">
        <v>3</v>
      </c>
      <c r="Q54" s="103"/>
      <c r="R54" s="100" t="n">
        <v>2</v>
      </c>
      <c r="T54" s="100"/>
      <c r="U54" s="102" t="n">
        <f aca="false">SUM(C54:Q54)</f>
        <v>3</v>
      </c>
      <c r="V54" s="100" t="n">
        <v>2</v>
      </c>
      <c r="W54" s="100" t="n">
        <v>2.5</v>
      </c>
      <c r="X54" s="100" t="n">
        <v>0</v>
      </c>
      <c r="Y54" s="103" t="n">
        <f aca="false">SUM(U54:X54)</f>
        <v>7.5</v>
      </c>
      <c r="Z54" s="100"/>
      <c r="AA54" s="100"/>
      <c r="AB54" s="100"/>
      <c r="AC54" s="100"/>
      <c r="AD54" s="100"/>
      <c r="AE54" s="100"/>
      <c r="AF54" s="100"/>
      <c r="AG54" s="100"/>
      <c r="AH54" s="100"/>
    </row>
    <row r="55" customFormat="false" ht="15" hidden="false" customHeight="false" outlineLevel="0" collapsed="false">
      <c r="A55" s="94"/>
      <c r="B55" s="104"/>
      <c r="C55" s="101" t="s">
        <v>233</v>
      </c>
      <c r="D55" s="102"/>
      <c r="E55" s="100"/>
      <c r="F55" s="100"/>
      <c r="G55" s="100"/>
      <c r="H55" s="100"/>
      <c r="I55" s="100"/>
      <c r="J55" s="100"/>
      <c r="K55" s="100"/>
      <c r="L55" s="100"/>
      <c r="M55" s="100"/>
      <c r="N55" s="100"/>
      <c r="O55" s="100"/>
      <c r="P55" s="100" t="n">
        <v>3</v>
      </c>
      <c r="Q55" s="123"/>
      <c r="R55" s="100"/>
      <c r="S55" s="100"/>
      <c r="T55" s="100"/>
      <c r="U55" s="102" t="n">
        <f aca="false">SUM(C55:Q55)</f>
        <v>3</v>
      </c>
      <c r="V55" s="100" t="n">
        <v>2</v>
      </c>
      <c r="W55" s="100" t="n">
        <v>2.5</v>
      </c>
      <c r="X55" s="100" t="n">
        <v>0</v>
      </c>
      <c r="Y55" s="103" t="n">
        <f aca="false">SUM(U55:X55)</f>
        <v>7.5</v>
      </c>
      <c r="Z55" s="100"/>
      <c r="AA55" s="100"/>
      <c r="AB55" s="100"/>
      <c r="AC55" s="100"/>
      <c r="AD55" s="100"/>
      <c r="AE55" s="100"/>
      <c r="AF55" s="100"/>
      <c r="AG55" s="100"/>
      <c r="AH55" s="100"/>
    </row>
    <row r="56" customFormat="false" ht="15" hidden="false" customHeight="false" outlineLevel="0" collapsed="false">
      <c r="A56" s="94"/>
      <c r="B56" s="104"/>
      <c r="C56" s="101" t="s">
        <v>234</v>
      </c>
      <c r="D56" s="102"/>
      <c r="E56" s="100"/>
      <c r="F56" s="100"/>
      <c r="G56" s="100"/>
      <c r="H56" s="100"/>
      <c r="I56" s="100"/>
      <c r="J56" s="100"/>
      <c r="K56" s="100"/>
      <c r="L56" s="100"/>
      <c r="M56" s="100"/>
      <c r="N56" s="100"/>
      <c r="O56" s="100"/>
      <c r="P56" s="100" t="n">
        <v>3</v>
      </c>
      <c r="Q56" s="123"/>
      <c r="R56" s="100"/>
      <c r="T56" s="100"/>
      <c r="U56" s="102" t="n">
        <f aca="false">SUM(C56:Q56)</f>
        <v>3</v>
      </c>
      <c r="V56" s="100" t="n">
        <v>2</v>
      </c>
      <c r="W56" s="100" t="n">
        <v>2.5</v>
      </c>
      <c r="X56" s="100" t="n">
        <v>0</v>
      </c>
      <c r="Y56" s="103" t="n">
        <f aca="false">SUM(U56:X56)</f>
        <v>7.5</v>
      </c>
      <c r="Z56" s="100"/>
      <c r="AA56" s="100"/>
      <c r="AB56" s="100"/>
      <c r="AC56" s="100"/>
      <c r="AD56" s="100"/>
      <c r="AE56" s="100"/>
      <c r="AF56" s="100"/>
      <c r="AG56" s="100"/>
      <c r="AH56" s="100"/>
    </row>
    <row r="57" customFormat="false" ht="15" hidden="false" customHeight="false" outlineLevel="0" collapsed="false">
      <c r="A57" s="94"/>
      <c r="B57" s="104"/>
      <c r="C57" s="101" t="s">
        <v>235</v>
      </c>
      <c r="D57" s="102"/>
      <c r="E57" s="100"/>
      <c r="F57" s="100"/>
      <c r="G57" s="100"/>
      <c r="H57" s="100"/>
      <c r="I57" s="100"/>
      <c r="J57" s="100"/>
      <c r="K57" s="100"/>
      <c r="L57" s="100"/>
      <c r="M57" s="100"/>
      <c r="N57" s="100"/>
      <c r="O57" s="100"/>
      <c r="P57" s="100" t="n">
        <v>3</v>
      </c>
      <c r="Q57" s="123"/>
      <c r="R57" s="100"/>
      <c r="S57" s="100"/>
      <c r="T57" s="100"/>
      <c r="U57" s="102" t="n">
        <f aca="false">SUM(C57:Q57)</f>
        <v>3</v>
      </c>
      <c r="V57" s="100" t="n">
        <v>2</v>
      </c>
      <c r="W57" s="100" t="n">
        <v>2.5</v>
      </c>
      <c r="X57" s="100" t="n">
        <v>0</v>
      </c>
      <c r="Y57" s="103" t="n">
        <f aca="false">SUM(U57:X57)</f>
        <v>7.5</v>
      </c>
      <c r="Z57" s="100"/>
      <c r="AA57" s="100"/>
      <c r="AB57" s="100"/>
      <c r="AC57" s="100"/>
      <c r="AD57" s="100"/>
      <c r="AE57" s="100"/>
      <c r="AF57" s="100"/>
      <c r="AG57" s="100"/>
      <c r="AH57" s="100"/>
    </row>
    <row r="58" customFormat="false" ht="15" hidden="false" customHeight="false" outlineLevel="0" collapsed="false">
      <c r="A58" s="94"/>
      <c r="B58" s="124" t="n">
        <v>15</v>
      </c>
      <c r="C58" s="101" t="s">
        <v>236</v>
      </c>
      <c r="D58" s="102"/>
      <c r="E58" s="100"/>
      <c r="F58" s="100"/>
      <c r="G58" s="100"/>
      <c r="H58" s="100"/>
      <c r="I58" s="100"/>
      <c r="J58" s="100"/>
      <c r="K58" s="100"/>
      <c r="L58" s="100"/>
      <c r="M58" s="100"/>
      <c r="N58" s="100"/>
      <c r="O58" s="100"/>
      <c r="P58" s="100" t="n">
        <v>3</v>
      </c>
      <c r="Q58" s="123"/>
      <c r="R58" s="100" t="n">
        <v>2</v>
      </c>
      <c r="S58" s="100"/>
      <c r="T58" s="100"/>
      <c r="U58" s="102" t="n">
        <f aca="false">SUM(C58:Q58)</f>
        <v>3</v>
      </c>
      <c r="V58" s="100" t="n">
        <v>2</v>
      </c>
      <c r="W58" s="100" t="n">
        <v>2.5</v>
      </c>
      <c r="X58" s="100" t="n">
        <v>2</v>
      </c>
      <c r="Y58" s="103" t="n">
        <f aca="false">SUM(U58:X58)</f>
        <v>9.5</v>
      </c>
      <c r="Z58" s="100"/>
      <c r="AA58" s="100"/>
      <c r="AB58" s="100"/>
      <c r="AC58" s="100"/>
      <c r="AD58" s="100"/>
      <c r="AE58" s="100"/>
      <c r="AF58" s="100"/>
      <c r="AG58" s="100"/>
      <c r="AH58" s="100"/>
    </row>
    <row r="59" customFormat="false" ht="15" hidden="false" customHeight="false" outlineLevel="0" collapsed="false">
      <c r="A59" s="94"/>
      <c r="B59" s="124"/>
      <c r="C59" s="101" t="s">
        <v>237</v>
      </c>
      <c r="D59" s="102"/>
      <c r="E59" s="100"/>
      <c r="F59" s="100"/>
      <c r="G59" s="100"/>
      <c r="H59" s="100"/>
      <c r="I59" s="100"/>
      <c r="J59" s="100"/>
      <c r="K59" s="100"/>
      <c r="L59" s="100"/>
      <c r="M59" s="100"/>
      <c r="N59" s="100"/>
      <c r="O59" s="100"/>
      <c r="P59" s="100"/>
      <c r="Q59" s="103" t="n">
        <v>3</v>
      </c>
      <c r="R59" s="100"/>
      <c r="S59" s="100"/>
      <c r="T59" s="100"/>
      <c r="U59" s="102" t="n">
        <f aca="false">SUM(C59:Q59)</f>
        <v>3</v>
      </c>
      <c r="V59" s="100" t="n">
        <v>2</v>
      </c>
      <c r="W59" s="100" t="n">
        <v>2.5</v>
      </c>
      <c r="X59" s="100" t="n">
        <v>0</v>
      </c>
      <c r="Y59" s="103" t="n">
        <f aca="false">SUM(U59:X59)</f>
        <v>7.5</v>
      </c>
      <c r="Z59" s="100"/>
      <c r="AA59" s="100"/>
      <c r="AB59" s="100"/>
      <c r="AC59" s="100"/>
      <c r="AD59" s="100"/>
      <c r="AE59" s="100"/>
      <c r="AF59" s="100"/>
      <c r="AG59" s="100"/>
      <c r="AH59" s="100"/>
    </row>
    <row r="60" customFormat="false" ht="15" hidden="false" customHeight="false" outlineLevel="0" collapsed="false">
      <c r="A60" s="94"/>
      <c r="B60" s="124"/>
      <c r="C60" s="101" t="s">
        <v>238</v>
      </c>
      <c r="D60" s="102"/>
      <c r="E60" s="100"/>
      <c r="F60" s="100"/>
      <c r="G60" s="100"/>
      <c r="H60" s="100"/>
      <c r="I60" s="100"/>
      <c r="J60" s="100"/>
      <c r="K60" s="100"/>
      <c r="L60" s="100"/>
      <c r="M60" s="100"/>
      <c r="N60" s="100"/>
      <c r="O60" s="100"/>
      <c r="P60" s="100"/>
      <c r="Q60" s="103" t="n">
        <v>3</v>
      </c>
      <c r="R60" s="100"/>
      <c r="S60" s="100"/>
      <c r="T60" s="100"/>
      <c r="U60" s="102" t="n">
        <f aca="false">SUM(C60:Q60)</f>
        <v>3</v>
      </c>
      <c r="V60" s="100" t="n">
        <v>2</v>
      </c>
      <c r="W60" s="100" t="n">
        <v>2.5</v>
      </c>
      <c r="X60" s="100" t="n">
        <v>0</v>
      </c>
      <c r="Y60" s="103" t="n">
        <f aca="false">SUM(U60:X60)</f>
        <v>7.5</v>
      </c>
      <c r="Z60" s="100"/>
      <c r="AA60" s="100"/>
      <c r="AB60" s="100"/>
      <c r="AC60" s="100"/>
      <c r="AD60" s="100"/>
      <c r="AE60" s="100"/>
      <c r="AF60" s="100"/>
      <c r="AG60" s="100"/>
      <c r="AH60" s="100"/>
    </row>
    <row r="61" customFormat="false" ht="15" hidden="false" customHeight="false" outlineLevel="0" collapsed="false">
      <c r="A61" s="94"/>
      <c r="B61" s="124"/>
      <c r="C61" s="125" t="s">
        <v>239</v>
      </c>
      <c r="D61" s="126"/>
      <c r="E61" s="127"/>
      <c r="F61" s="127"/>
      <c r="G61" s="127"/>
      <c r="H61" s="127"/>
      <c r="I61" s="127"/>
      <c r="J61" s="127"/>
      <c r="K61" s="127"/>
      <c r="L61" s="127"/>
      <c r="M61" s="127"/>
      <c r="N61" s="127"/>
      <c r="O61" s="127"/>
      <c r="P61" s="127"/>
      <c r="Q61" s="128" t="n">
        <v>3</v>
      </c>
      <c r="R61" s="127"/>
      <c r="S61" s="127"/>
      <c r="T61" s="127"/>
      <c r="U61" s="126" t="n">
        <f aca="false">SUM(C61:Q61)</f>
        <v>3</v>
      </c>
      <c r="V61" s="127" t="n">
        <v>2</v>
      </c>
      <c r="W61" s="127" t="n">
        <v>2.5</v>
      </c>
      <c r="X61" s="127" t="n">
        <v>2</v>
      </c>
      <c r="Y61" s="128" t="n">
        <f aca="false">SUM(U61:X61)</f>
        <v>9.5</v>
      </c>
      <c r="Z61" s="100"/>
      <c r="AA61" s="100"/>
      <c r="AB61" s="100"/>
      <c r="AC61" s="100"/>
      <c r="AD61" s="100"/>
      <c r="AE61" s="100"/>
      <c r="AF61" s="100"/>
      <c r="AG61" s="100"/>
      <c r="AH61" s="100"/>
    </row>
    <row r="62" customFormat="false" ht="15" hidden="false" customHeight="false" outlineLevel="0" collapsed="false">
      <c r="A62" s="94" t="s">
        <v>165</v>
      </c>
      <c r="B62" s="129" t="n">
        <v>16</v>
      </c>
      <c r="C62" s="101" t="s">
        <v>240</v>
      </c>
      <c r="D62" s="102"/>
      <c r="E62" s="100"/>
      <c r="F62" s="100"/>
      <c r="G62" s="100"/>
      <c r="H62" s="100"/>
      <c r="I62" s="100"/>
      <c r="J62" s="100"/>
      <c r="K62" s="100"/>
      <c r="L62" s="100"/>
      <c r="M62" s="100"/>
      <c r="N62" s="100"/>
      <c r="O62" s="100"/>
      <c r="P62" s="100"/>
      <c r="Q62" s="100"/>
      <c r="R62" s="100"/>
      <c r="S62" s="100"/>
      <c r="T62" s="100" t="s">
        <v>165</v>
      </c>
      <c r="U62" s="100" t="n">
        <v>0</v>
      </c>
      <c r="V62" s="100" t="n">
        <v>0</v>
      </c>
      <c r="W62" s="100" t="n">
        <v>0</v>
      </c>
      <c r="X62" s="100" t="n">
        <v>0</v>
      </c>
      <c r="Y62" s="103" t="n">
        <f aca="false">SUM(U62:X62)</f>
        <v>0</v>
      </c>
      <c r="Z62" s="100"/>
      <c r="AA62" s="100"/>
      <c r="AB62" s="100"/>
      <c r="AC62" s="100"/>
      <c r="AD62" s="100"/>
      <c r="AE62" s="100"/>
      <c r="AF62" s="100"/>
      <c r="AG62" s="100"/>
      <c r="AH62" s="100"/>
    </row>
    <row r="63" customFormat="false" ht="15" hidden="false" customHeight="false" outlineLevel="0" collapsed="false">
      <c r="A63" s="94"/>
      <c r="B63" s="129"/>
      <c r="C63" s="101" t="s">
        <v>241</v>
      </c>
      <c r="D63" s="102"/>
      <c r="E63" s="100"/>
      <c r="F63" s="100"/>
      <c r="G63" s="100"/>
      <c r="H63" s="100"/>
      <c r="I63" s="100"/>
      <c r="J63" s="100"/>
      <c r="K63" s="100"/>
      <c r="L63" s="100"/>
      <c r="M63" s="100"/>
      <c r="N63" s="100"/>
      <c r="O63" s="100"/>
      <c r="P63" s="100"/>
      <c r="Q63" s="100"/>
      <c r="R63" s="100"/>
      <c r="S63" s="100"/>
      <c r="T63" s="100" t="s">
        <v>165</v>
      </c>
      <c r="U63" s="100" t="n">
        <v>0</v>
      </c>
      <c r="V63" s="100" t="n">
        <v>0</v>
      </c>
      <c r="W63" s="100" t="n">
        <v>0</v>
      </c>
      <c r="X63" s="100" t="n">
        <v>0</v>
      </c>
      <c r="Y63" s="103" t="n">
        <f aca="false">SUM(U63:X63)</f>
        <v>0</v>
      </c>
      <c r="Z63" s="100"/>
      <c r="AA63" s="100"/>
      <c r="AB63" s="100"/>
      <c r="AC63" s="100"/>
      <c r="AD63" s="100"/>
      <c r="AE63" s="100"/>
      <c r="AF63" s="100"/>
      <c r="AG63" s="100"/>
      <c r="AH63" s="100"/>
    </row>
    <row r="64" customFormat="false" ht="15" hidden="false" customHeight="false" outlineLevel="0" collapsed="false">
      <c r="A64" s="94"/>
      <c r="B64" s="129"/>
      <c r="C64" s="101" t="s">
        <v>242</v>
      </c>
      <c r="D64" s="102"/>
      <c r="E64" s="100"/>
      <c r="F64" s="100"/>
      <c r="G64" s="100"/>
      <c r="H64" s="100"/>
      <c r="I64" s="100"/>
      <c r="J64" s="100"/>
      <c r="K64" s="100"/>
      <c r="L64" s="100"/>
      <c r="M64" s="100"/>
      <c r="N64" s="100"/>
      <c r="O64" s="100"/>
      <c r="P64" s="100"/>
      <c r="Q64" s="100"/>
      <c r="R64" s="100"/>
      <c r="S64" s="100"/>
      <c r="T64" s="100" t="s">
        <v>165</v>
      </c>
      <c r="U64" s="100" t="n">
        <v>0</v>
      </c>
      <c r="V64" s="100" t="n">
        <v>0</v>
      </c>
      <c r="W64" s="100" t="n">
        <v>0</v>
      </c>
      <c r="X64" s="100" t="n">
        <v>0</v>
      </c>
      <c r="Y64" s="103" t="n">
        <f aca="false">SUM(U64:X64)</f>
        <v>0</v>
      </c>
      <c r="Z64" s="100"/>
      <c r="AA64" s="100"/>
      <c r="AB64" s="100"/>
      <c r="AC64" s="100"/>
      <c r="AD64" s="100"/>
      <c r="AE64" s="100"/>
      <c r="AF64" s="100"/>
      <c r="AG64" s="100"/>
      <c r="AH64" s="100"/>
    </row>
    <row r="65" customFormat="false" ht="15" hidden="false" customHeight="false" outlineLevel="0" collapsed="false">
      <c r="A65" s="94"/>
      <c r="B65" s="129"/>
      <c r="C65" s="101" t="s">
        <v>243</v>
      </c>
      <c r="D65" s="102"/>
      <c r="E65" s="100"/>
      <c r="F65" s="100"/>
      <c r="G65" s="100"/>
      <c r="H65" s="100"/>
      <c r="I65" s="100"/>
      <c r="J65" s="100"/>
      <c r="K65" s="100"/>
      <c r="L65" s="100"/>
      <c r="M65" s="100"/>
      <c r="N65" s="100"/>
      <c r="O65" s="100"/>
      <c r="P65" s="100"/>
      <c r="Q65" s="100"/>
      <c r="R65" s="100"/>
      <c r="S65" s="100"/>
      <c r="T65" s="100" t="s">
        <v>165</v>
      </c>
      <c r="U65" s="100" t="n">
        <v>0</v>
      </c>
      <c r="V65" s="100" t="n">
        <v>0</v>
      </c>
      <c r="W65" s="100" t="n">
        <v>0</v>
      </c>
      <c r="X65" s="100" t="n">
        <v>0</v>
      </c>
      <c r="Y65" s="103" t="n">
        <f aca="false">SUM(U65:X65)</f>
        <v>0</v>
      </c>
      <c r="Z65" s="100"/>
      <c r="AA65" s="100"/>
      <c r="AB65" s="100"/>
      <c r="AC65" s="100"/>
      <c r="AD65" s="100"/>
      <c r="AE65" s="100"/>
      <c r="AF65" s="100"/>
      <c r="AG65" s="100"/>
      <c r="AH65" s="100"/>
    </row>
    <row r="66" customFormat="false" ht="15" hidden="false" customHeight="false" outlineLevel="0" collapsed="false">
      <c r="A66" s="94"/>
      <c r="B66" s="104" t="n">
        <v>17</v>
      </c>
      <c r="C66" s="101" t="s">
        <v>244</v>
      </c>
      <c r="D66" s="102"/>
      <c r="E66" s="100"/>
      <c r="F66" s="100"/>
      <c r="G66" s="100"/>
      <c r="H66" s="100"/>
      <c r="I66" s="100"/>
      <c r="J66" s="100"/>
      <c r="K66" s="100"/>
      <c r="L66" s="100"/>
      <c r="M66" s="100"/>
      <c r="N66" s="100"/>
      <c r="O66" s="100"/>
      <c r="P66" s="100"/>
      <c r="Q66" s="100"/>
      <c r="R66" s="100"/>
      <c r="S66" s="100"/>
      <c r="T66" s="100" t="s">
        <v>165</v>
      </c>
      <c r="U66" s="100" t="n">
        <v>0</v>
      </c>
      <c r="V66" s="100" t="n">
        <v>0</v>
      </c>
      <c r="W66" s="100" t="n">
        <v>0</v>
      </c>
      <c r="X66" s="100" t="n">
        <v>0</v>
      </c>
      <c r="Y66" s="103" t="n">
        <f aca="false">SUM(U66:X66)</f>
        <v>0</v>
      </c>
      <c r="Z66" s="100"/>
      <c r="AA66" s="100"/>
      <c r="AB66" s="100"/>
      <c r="AC66" s="100"/>
      <c r="AD66" s="100"/>
      <c r="AE66" s="100"/>
      <c r="AF66" s="100"/>
      <c r="AG66" s="100"/>
      <c r="AH66" s="100"/>
    </row>
    <row r="67" customFormat="false" ht="15" hidden="false" customHeight="false" outlineLevel="0" collapsed="false">
      <c r="A67" s="94"/>
      <c r="B67" s="104"/>
      <c r="C67" s="101" t="s">
        <v>245</v>
      </c>
      <c r="D67" s="102"/>
      <c r="E67" s="100"/>
      <c r="F67" s="100"/>
      <c r="G67" s="100"/>
      <c r="H67" s="100"/>
      <c r="I67" s="100"/>
      <c r="J67" s="100"/>
      <c r="K67" s="100"/>
      <c r="L67" s="100"/>
      <c r="M67" s="100"/>
      <c r="N67" s="100"/>
      <c r="O67" s="100"/>
      <c r="P67" s="100"/>
      <c r="Q67" s="100"/>
      <c r="R67" s="100"/>
      <c r="S67" s="100"/>
      <c r="T67" s="100" t="s">
        <v>165</v>
      </c>
      <c r="U67" s="100" t="n">
        <v>0</v>
      </c>
      <c r="V67" s="100" t="n">
        <v>0</v>
      </c>
      <c r="W67" s="100" t="n">
        <v>0</v>
      </c>
      <c r="X67" s="100" t="n">
        <v>0</v>
      </c>
      <c r="Y67" s="103" t="n">
        <f aca="false">SUM(U67:X67)</f>
        <v>0</v>
      </c>
      <c r="Z67" s="100"/>
      <c r="AA67" s="100"/>
      <c r="AB67" s="100"/>
      <c r="AC67" s="100"/>
      <c r="AD67" s="100"/>
      <c r="AE67" s="100"/>
      <c r="AF67" s="100"/>
      <c r="AG67" s="100"/>
      <c r="AH67" s="100"/>
    </row>
    <row r="68" customFormat="false" ht="15" hidden="false" customHeight="false" outlineLevel="0" collapsed="false">
      <c r="A68" s="94"/>
      <c r="B68" s="104"/>
      <c r="C68" s="101" t="s">
        <v>246</v>
      </c>
      <c r="D68" s="102"/>
      <c r="E68" s="100"/>
      <c r="F68" s="100"/>
      <c r="G68" s="100"/>
      <c r="H68" s="100"/>
      <c r="I68" s="100"/>
      <c r="J68" s="100"/>
      <c r="K68" s="100"/>
      <c r="L68" s="100"/>
      <c r="M68" s="100"/>
      <c r="N68" s="100"/>
      <c r="O68" s="100"/>
      <c r="P68" s="100"/>
      <c r="Q68" s="100"/>
      <c r="R68" s="100"/>
      <c r="S68" s="100"/>
      <c r="T68" s="100" t="s">
        <v>165</v>
      </c>
      <c r="U68" s="100" t="n">
        <v>0</v>
      </c>
      <c r="V68" s="100" t="n">
        <v>0</v>
      </c>
      <c r="W68" s="100" t="n">
        <v>0</v>
      </c>
      <c r="X68" s="100" t="n">
        <v>0</v>
      </c>
      <c r="Y68" s="103" t="n">
        <f aca="false">SUM(U68:X68)</f>
        <v>0</v>
      </c>
      <c r="Z68" s="100"/>
      <c r="AA68" s="100"/>
      <c r="AB68" s="100"/>
      <c r="AC68" s="100"/>
      <c r="AD68" s="100"/>
      <c r="AE68" s="100"/>
      <c r="AF68" s="100"/>
      <c r="AG68" s="100"/>
      <c r="AH68" s="100"/>
    </row>
    <row r="69" customFormat="false" ht="15" hidden="false" customHeight="false" outlineLevel="0" collapsed="false">
      <c r="A69" s="94"/>
      <c r="B69" s="104"/>
      <c r="C69" s="101" t="s">
        <v>247</v>
      </c>
      <c r="D69" s="102"/>
      <c r="E69" s="100"/>
      <c r="F69" s="100"/>
      <c r="G69" s="100"/>
      <c r="H69" s="100"/>
      <c r="I69" s="100"/>
      <c r="J69" s="100"/>
      <c r="K69" s="100"/>
      <c r="L69" s="100"/>
      <c r="M69" s="100"/>
      <c r="N69" s="100"/>
      <c r="O69" s="100"/>
      <c r="P69" s="100"/>
      <c r="Q69" s="100"/>
      <c r="R69" s="100"/>
      <c r="S69" s="100"/>
      <c r="T69" s="100" t="s">
        <v>165</v>
      </c>
      <c r="U69" s="100" t="n">
        <v>0</v>
      </c>
      <c r="V69" s="100" t="n">
        <v>0</v>
      </c>
      <c r="W69" s="100" t="n">
        <v>0</v>
      </c>
      <c r="X69" s="100" t="n">
        <v>0</v>
      </c>
      <c r="Y69" s="103" t="n">
        <f aca="false">SUM(U69:X69)</f>
        <v>0</v>
      </c>
      <c r="Z69" s="100"/>
      <c r="AA69" s="100"/>
      <c r="AB69" s="100"/>
      <c r="AC69" s="100"/>
      <c r="AD69" s="100"/>
      <c r="AE69" s="100"/>
      <c r="AF69" s="100"/>
      <c r="AG69" s="100"/>
      <c r="AH69" s="100"/>
    </row>
    <row r="70" customFormat="false" ht="15" hidden="false" customHeight="false" outlineLevel="0" collapsed="false">
      <c r="A70" s="94"/>
      <c r="B70" s="104" t="n">
        <v>18</v>
      </c>
      <c r="C70" s="101" t="s">
        <v>248</v>
      </c>
      <c r="D70" s="102"/>
      <c r="E70" s="100"/>
      <c r="F70" s="100"/>
      <c r="G70" s="100"/>
      <c r="H70" s="100"/>
      <c r="I70" s="100"/>
      <c r="J70" s="100"/>
      <c r="K70" s="100"/>
      <c r="L70" s="100"/>
      <c r="M70" s="100"/>
      <c r="N70" s="100"/>
      <c r="O70" s="100"/>
      <c r="P70" s="100"/>
      <c r="Q70" s="100"/>
      <c r="R70" s="100"/>
      <c r="S70" s="100"/>
      <c r="T70" s="100" t="s">
        <v>165</v>
      </c>
      <c r="U70" s="100" t="n">
        <v>0</v>
      </c>
      <c r="V70" s="100" t="n">
        <v>0</v>
      </c>
      <c r="W70" s="100" t="n">
        <v>0</v>
      </c>
      <c r="X70" s="100" t="n">
        <v>0</v>
      </c>
      <c r="Y70" s="103" t="n">
        <f aca="false">SUM(U70:X70)</f>
        <v>0</v>
      </c>
      <c r="Z70" s="100"/>
      <c r="AA70" s="100"/>
      <c r="AB70" s="100"/>
      <c r="AC70" s="100"/>
      <c r="AD70" s="100"/>
      <c r="AE70" s="100"/>
      <c r="AF70" s="100"/>
      <c r="AG70" s="100"/>
      <c r="AH70" s="100"/>
    </row>
    <row r="71" customFormat="false" ht="15" hidden="false" customHeight="false" outlineLevel="0" collapsed="false">
      <c r="A71" s="94"/>
      <c r="B71" s="104"/>
      <c r="C71" s="101" t="s">
        <v>249</v>
      </c>
      <c r="D71" s="102"/>
      <c r="E71" s="100"/>
      <c r="F71" s="100"/>
      <c r="G71" s="100"/>
      <c r="H71" s="100"/>
      <c r="I71" s="100"/>
      <c r="J71" s="100"/>
      <c r="K71" s="100"/>
      <c r="L71" s="100"/>
      <c r="M71" s="100"/>
      <c r="N71" s="100"/>
      <c r="O71" s="100"/>
      <c r="P71" s="100"/>
      <c r="Q71" s="100"/>
      <c r="R71" s="100"/>
      <c r="S71" s="100"/>
      <c r="T71" s="100" t="s">
        <v>165</v>
      </c>
      <c r="U71" s="100" t="n">
        <v>0</v>
      </c>
      <c r="V71" s="100" t="n">
        <v>0</v>
      </c>
      <c r="W71" s="100" t="n">
        <v>0</v>
      </c>
      <c r="X71" s="100" t="n">
        <v>0</v>
      </c>
      <c r="Y71" s="103" t="n">
        <f aca="false">SUM(U71:X71)</f>
        <v>0</v>
      </c>
      <c r="Z71" s="100"/>
      <c r="AA71" s="100"/>
      <c r="AB71" s="100"/>
      <c r="AC71" s="100"/>
      <c r="AD71" s="100"/>
      <c r="AE71" s="100"/>
      <c r="AF71" s="100"/>
      <c r="AG71" s="100"/>
      <c r="AH71" s="100"/>
    </row>
    <row r="72" customFormat="false" ht="15" hidden="false" customHeight="false" outlineLevel="0" collapsed="false">
      <c r="A72" s="94"/>
      <c r="B72" s="104"/>
      <c r="C72" s="101" t="s">
        <v>250</v>
      </c>
      <c r="D72" s="102"/>
      <c r="E72" s="100"/>
      <c r="F72" s="100"/>
      <c r="G72" s="100"/>
      <c r="H72" s="100"/>
      <c r="I72" s="100"/>
      <c r="J72" s="100"/>
      <c r="K72" s="100"/>
      <c r="L72" s="100"/>
      <c r="M72" s="100"/>
      <c r="N72" s="100"/>
      <c r="O72" s="100"/>
      <c r="P72" s="100"/>
      <c r="Q72" s="100"/>
      <c r="R72" s="100"/>
      <c r="S72" s="100"/>
      <c r="T72" s="100" t="s">
        <v>165</v>
      </c>
      <c r="U72" s="100" t="n">
        <v>0</v>
      </c>
      <c r="V72" s="100" t="n">
        <v>0</v>
      </c>
      <c r="W72" s="100" t="n">
        <v>0</v>
      </c>
      <c r="X72" s="100" t="n">
        <v>0</v>
      </c>
      <c r="Y72" s="103" t="n">
        <f aca="false">SUM(U72:X72)</f>
        <v>0</v>
      </c>
      <c r="Z72" s="100"/>
      <c r="AA72" s="100"/>
      <c r="AB72" s="100"/>
      <c r="AC72" s="100"/>
      <c r="AD72" s="100"/>
      <c r="AE72" s="100"/>
      <c r="AF72" s="100"/>
      <c r="AG72" s="100"/>
      <c r="AH72" s="100"/>
    </row>
    <row r="73" customFormat="false" ht="15" hidden="false" customHeight="false" outlineLevel="0" collapsed="false">
      <c r="A73" s="94"/>
      <c r="B73" s="104"/>
      <c r="C73" s="101" t="s">
        <v>251</v>
      </c>
      <c r="D73" s="102"/>
      <c r="E73" s="100"/>
      <c r="F73" s="100"/>
      <c r="G73" s="100"/>
      <c r="H73" s="100"/>
      <c r="I73" s="100"/>
      <c r="J73" s="100"/>
      <c r="K73" s="100"/>
      <c r="L73" s="100"/>
      <c r="M73" s="100"/>
      <c r="N73" s="100"/>
      <c r="O73" s="100"/>
      <c r="P73" s="100"/>
      <c r="Q73" s="100"/>
      <c r="R73" s="100"/>
      <c r="S73" s="100"/>
      <c r="T73" s="100" t="s">
        <v>165</v>
      </c>
      <c r="U73" s="100" t="n">
        <v>0</v>
      </c>
      <c r="V73" s="100" t="n">
        <v>0</v>
      </c>
      <c r="W73" s="100" t="n">
        <v>0</v>
      </c>
      <c r="X73" s="100" t="n">
        <v>0</v>
      </c>
      <c r="Y73" s="103" t="n">
        <f aca="false">SUM(U73:X73)</f>
        <v>0</v>
      </c>
      <c r="Z73" s="100"/>
      <c r="AA73" s="100"/>
      <c r="AB73" s="100"/>
      <c r="AC73" s="100"/>
      <c r="AD73" s="100"/>
      <c r="AE73" s="100"/>
      <c r="AF73" s="100"/>
      <c r="AG73" s="100"/>
      <c r="AH73" s="100"/>
    </row>
    <row r="74" customFormat="false" ht="15" hidden="false" customHeight="false" outlineLevel="0" collapsed="false">
      <c r="A74" s="94"/>
      <c r="B74" s="124" t="n">
        <v>19</v>
      </c>
      <c r="C74" s="101" t="s">
        <v>252</v>
      </c>
      <c r="D74" s="102"/>
      <c r="E74" s="100"/>
      <c r="F74" s="100"/>
      <c r="G74" s="100"/>
      <c r="H74" s="100"/>
      <c r="I74" s="100"/>
      <c r="J74" s="100"/>
      <c r="K74" s="100"/>
      <c r="L74" s="100"/>
      <c r="M74" s="100"/>
      <c r="N74" s="100"/>
      <c r="O74" s="100"/>
      <c r="P74" s="100"/>
      <c r="Q74" s="100"/>
      <c r="R74" s="100"/>
      <c r="S74" s="100"/>
      <c r="T74" s="100" t="s">
        <v>165</v>
      </c>
      <c r="U74" s="100" t="n">
        <v>0</v>
      </c>
      <c r="V74" s="100" t="n">
        <v>0</v>
      </c>
      <c r="W74" s="100" t="n">
        <v>0</v>
      </c>
      <c r="X74" s="100" t="n">
        <v>0</v>
      </c>
      <c r="Y74" s="103" t="n">
        <f aca="false">SUM(U74:X74)</f>
        <v>0</v>
      </c>
      <c r="Z74" s="100"/>
      <c r="AA74" s="100"/>
      <c r="AB74" s="100"/>
      <c r="AC74" s="100"/>
      <c r="AD74" s="100"/>
      <c r="AE74" s="100"/>
      <c r="AF74" s="100"/>
      <c r="AG74" s="100"/>
      <c r="AH74" s="100"/>
    </row>
    <row r="75" customFormat="false" ht="15" hidden="false" customHeight="false" outlineLevel="0" collapsed="false">
      <c r="A75" s="94"/>
      <c r="B75" s="124"/>
      <c r="C75" s="101" t="s">
        <v>253</v>
      </c>
      <c r="D75" s="102"/>
      <c r="E75" s="100"/>
      <c r="F75" s="100"/>
      <c r="G75" s="100"/>
      <c r="H75" s="100"/>
      <c r="I75" s="100"/>
      <c r="J75" s="100"/>
      <c r="K75" s="100"/>
      <c r="L75" s="100"/>
      <c r="M75" s="100"/>
      <c r="N75" s="100"/>
      <c r="O75" s="100"/>
      <c r="P75" s="100"/>
      <c r="Q75" s="100"/>
      <c r="R75" s="100"/>
      <c r="S75" s="100"/>
      <c r="T75" s="100" t="s">
        <v>165</v>
      </c>
      <c r="U75" s="100" t="n">
        <v>0</v>
      </c>
      <c r="V75" s="100" t="n">
        <v>0</v>
      </c>
      <c r="W75" s="100" t="n">
        <v>0</v>
      </c>
      <c r="X75" s="100" t="n">
        <v>0</v>
      </c>
      <c r="Y75" s="103" t="n">
        <f aca="false">SUM(U75:X75)</f>
        <v>0</v>
      </c>
      <c r="Z75" s="100"/>
      <c r="AA75" s="100"/>
      <c r="AB75" s="100"/>
      <c r="AC75" s="100"/>
      <c r="AD75" s="100"/>
      <c r="AE75" s="100"/>
      <c r="AF75" s="100"/>
      <c r="AG75" s="100"/>
      <c r="AH75" s="100"/>
    </row>
    <row r="76" customFormat="false" ht="15" hidden="false" customHeight="false" outlineLevel="0" collapsed="false">
      <c r="A76" s="94"/>
      <c r="B76" s="124"/>
      <c r="C76" s="101" t="s">
        <v>254</v>
      </c>
      <c r="D76" s="102"/>
      <c r="E76" s="100"/>
      <c r="F76" s="100"/>
      <c r="G76" s="100"/>
      <c r="H76" s="100"/>
      <c r="I76" s="100"/>
      <c r="J76" s="100"/>
      <c r="K76" s="100"/>
      <c r="L76" s="100"/>
      <c r="M76" s="100"/>
      <c r="N76" s="100"/>
      <c r="O76" s="100"/>
      <c r="P76" s="100"/>
      <c r="Q76" s="100"/>
      <c r="R76" s="100"/>
      <c r="S76" s="100"/>
      <c r="T76" s="100" t="s">
        <v>165</v>
      </c>
      <c r="U76" s="100" t="n">
        <v>0</v>
      </c>
      <c r="V76" s="100" t="n">
        <v>0</v>
      </c>
      <c r="W76" s="100" t="n">
        <v>0</v>
      </c>
      <c r="X76" s="100" t="n">
        <v>0</v>
      </c>
      <c r="Y76" s="103" t="n">
        <f aca="false">SUM(U76:X76)</f>
        <v>0</v>
      </c>
      <c r="Z76" s="100"/>
      <c r="AA76" s="100"/>
      <c r="AB76" s="100"/>
      <c r="AC76" s="100"/>
      <c r="AD76" s="100"/>
      <c r="AE76" s="100"/>
      <c r="AF76" s="100"/>
      <c r="AG76" s="100"/>
      <c r="AH76" s="100"/>
    </row>
    <row r="77" customFormat="false" ht="15" hidden="false" customHeight="false" outlineLevel="0" collapsed="false">
      <c r="A77" s="94"/>
      <c r="B77" s="124"/>
      <c r="C77" s="125" t="s">
        <v>255</v>
      </c>
      <c r="D77" s="126"/>
      <c r="E77" s="127"/>
      <c r="F77" s="127"/>
      <c r="G77" s="127"/>
      <c r="H77" s="127"/>
      <c r="I77" s="127"/>
      <c r="J77" s="127"/>
      <c r="K77" s="127"/>
      <c r="L77" s="127"/>
      <c r="M77" s="127"/>
      <c r="N77" s="127"/>
      <c r="O77" s="127"/>
      <c r="P77" s="127"/>
      <c r="Q77" s="127"/>
      <c r="R77" s="127"/>
      <c r="S77" s="127"/>
      <c r="T77" s="127" t="s">
        <v>165</v>
      </c>
      <c r="U77" s="127" t="n">
        <v>0</v>
      </c>
      <c r="V77" s="127" t="n">
        <v>0</v>
      </c>
      <c r="W77" s="127" t="n">
        <v>0</v>
      </c>
      <c r="X77" s="127" t="n">
        <v>0</v>
      </c>
      <c r="Y77" s="128" t="n">
        <f aca="false">SUM(U77:X77)</f>
        <v>0</v>
      </c>
      <c r="Z77" s="100"/>
      <c r="AA77" s="100"/>
      <c r="AB77" s="100"/>
      <c r="AC77" s="100"/>
      <c r="AD77" s="100"/>
      <c r="AE77" s="100"/>
      <c r="AF77" s="100"/>
      <c r="AG77" s="100"/>
      <c r="AH77" s="100"/>
    </row>
    <row r="78" customFormat="false" ht="15" hidden="false" customHeight="false" outlineLevel="0" collapsed="false">
      <c r="A78" s="100"/>
      <c r="B78" s="100"/>
      <c r="C78" s="100"/>
      <c r="D78" s="130" t="n">
        <f aca="false">SUM(D2:D77)</f>
        <v>0</v>
      </c>
      <c r="E78" s="130" t="n">
        <f aca="false">SUM(E2:E77)</f>
        <v>4</v>
      </c>
      <c r="F78" s="130" t="n">
        <f aca="false">SUM(F2:F77)</f>
        <v>12</v>
      </c>
      <c r="G78" s="130" t="n">
        <f aca="false">SUM(G2:G77)</f>
        <v>15</v>
      </c>
      <c r="H78" s="130" t="n">
        <f aca="false">SUM(H2:H77)</f>
        <v>27</v>
      </c>
      <c r="I78" s="130" t="n">
        <f aca="false">SUM(I2:I77)</f>
        <v>12</v>
      </c>
      <c r="J78" s="130" t="n">
        <f aca="false">SUM(J2:J77)</f>
        <v>24</v>
      </c>
      <c r="K78" s="130" t="n">
        <f aca="false">SUM(K2:K77)</f>
        <v>9</v>
      </c>
      <c r="L78" s="130" t="n">
        <f aca="false">SUM(L2:L77)</f>
        <v>12</v>
      </c>
      <c r="M78" s="130" t="n">
        <f aca="false">SUM(M2:M77)</f>
        <v>21</v>
      </c>
      <c r="N78" s="130" t="n">
        <f aca="false">SUM(N2:N77)</f>
        <v>18</v>
      </c>
      <c r="O78" s="130" t="n">
        <f aca="false">SUM(O2:O77)</f>
        <v>15</v>
      </c>
      <c r="P78" s="130" t="n">
        <f aca="false">SUM(P2:P77)</f>
        <v>15</v>
      </c>
      <c r="Q78" s="130" t="n">
        <f aca="false">SUM(Q2:Q77)</f>
        <v>9</v>
      </c>
      <c r="R78" s="130" t="n">
        <f aca="false">SUM(R2:R77)</f>
        <v>30</v>
      </c>
      <c r="S78" s="130" t="n">
        <f aca="false">SUM(S2:S77)</f>
        <v>0</v>
      </c>
      <c r="T78" s="100"/>
      <c r="U78" s="100"/>
      <c r="V78" s="100"/>
      <c r="W78" s="100"/>
      <c r="X78" s="100"/>
      <c r="Y78" s="100"/>
      <c r="Z78" s="100"/>
      <c r="AA78" s="100"/>
      <c r="AB78" s="100"/>
      <c r="AC78" s="100"/>
      <c r="AD78" s="100"/>
      <c r="AE78" s="100"/>
      <c r="AF78" s="100"/>
      <c r="AG78" s="100"/>
      <c r="AH78" s="100"/>
    </row>
    <row r="79" customFormat="false" ht="15" hidden="false" customHeight="false" outlineLevel="0" collapsed="false">
      <c r="A79" s="100"/>
      <c r="B79" s="100"/>
      <c r="C79" s="100"/>
      <c r="D79" s="100"/>
      <c r="E79" s="100"/>
      <c r="F79" s="100"/>
      <c r="G79" s="100"/>
      <c r="H79" s="100"/>
      <c r="I79" s="100"/>
      <c r="J79" s="100"/>
      <c r="K79" s="100"/>
      <c r="L79" s="100"/>
      <c r="M79" s="100"/>
      <c r="N79" s="100"/>
      <c r="O79" s="100"/>
      <c r="P79" s="100"/>
      <c r="Q79" s="100"/>
      <c r="R79" s="100"/>
      <c r="S79" s="100"/>
      <c r="T79" s="100"/>
      <c r="U79" s="131" t="n">
        <f aca="false">SUM(U2:U77)</f>
        <v>189</v>
      </c>
      <c r="V79" s="132" t="n">
        <f aca="false">SUM(V2:V77)</f>
        <v>120</v>
      </c>
      <c r="W79" s="132" t="n">
        <f aca="false">SUM(W2:W77)</f>
        <v>150</v>
      </c>
      <c r="X79" s="132" t="n">
        <f aca="false">SUM(X2:X77)</f>
        <v>24</v>
      </c>
      <c r="Y79" s="133" t="n">
        <f aca="false">SUM(Y2:Y77)</f>
        <v>483</v>
      </c>
      <c r="Z79" s="100"/>
      <c r="AA79" s="100"/>
      <c r="AB79" s="100"/>
      <c r="AC79" s="100"/>
      <c r="AD79" s="100"/>
      <c r="AE79" s="100"/>
      <c r="AF79" s="100"/>
      <c r="AG79" s="100"/>
      <c r="AH79" s="100"/>
    </row>
    <row r="80" customFormat="false" ht="15" hidden="false" customHeight="false" outlineLevel="0" collapsed="false">
      <c r="A80" s="100"/>
      <c r="B80" s="100"/>
      <c r="C80" s="134" t="s">
        <v>256</v>
      </c>
      <c r="D80" s="134"/>
      <c r="E80" s="99" t="n">
        <v>60</v>
      </c>
      <c r="F80" s="100"/>
      <c r="G80" s="100"/>
      <c r="H80" s="100"/>
      <c r="I80" s="100"/>
      <c r="J80" s="100"/>
      <c r="K80" s="100"/>
      <c r="L80" s="100"/>
      <c r="M80" s="100"/>
      <c r="N80" s="100"/>
      <c r="O80" s="100"/>
      <c r="P80" s="100"/>
      <c r="Q80" s="100"/>
      <c r="R80" s="100"/>
      <c r="S80" s="100"/>
      <c r="T80" s="100"/>
      <c r="U80" s="100"/>
      <c r="V80" s="100"/>
      <c r="W80" s="100"/>
      <c r="X80" s="100"/>
      <c r="Y80" s="135" t="s">
        <v>257</v>
      </c>
      <c r="Z80" s="100"/>
      <c r="AA80" s="100"/>
      <c r="AB80" s="100"/>
      <c r="AC80" s="100"/>
      <c r="AD80" s="100"/>
      <c r="AE80" s="100"/>
      <c r="AF80" s="100"/>
      <c r="AG80" s="100"/>
      <c r="AH80" s="100"/>
    </row>
    <row r="81" customFormat="false" ht="15" hidden="false" customHeight="false" outlineLevel="0" collapsed="false">
      <c r="A81" s="100"/>
      <c r="B81" s="100"/>
      <c r="C81" s="136" t="s">
        <v>258</v>
      </c>
      <c r="D81" s="136"/>
      <c r="E81" s="103" t="n">
        <v>322.5</v>
      </c>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row>
    <row r="82" customFormat="false" ht="15" hidden="false" customHeight="false" outlineLevel="0" collapsed="false">
      <c r="A82" s="100"/>
      <c r="B82" s="100"/>
      <c r="C82" s="136" t="s">
        <v>259</v>
      </c>
      <c r="D82" s="136"/>
      <c r="E82" s="103" t="n">
        <v>35</v>
      </c>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row>
    <row r="83" customFormat="false" ht="15" hidden="false" customHeight="false" outlineLevel="0" collapsed="false">
      <c r="A83" s="100"/>
      <c r="B83" s="100"/>
      <c r="C83" s="136" t="s">
        <v>260</v>
      </c>
      <c r="D83" s="136"/>
      <c r="E83" s="103" t="n">
        <v>287</v>
      </c>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row>
    <row r="84" customFormat="false" ht="15" hidden="false" customHeight="false" outlineLevel="0" collapsed="false">
      <c r="A84" s="100"/>
      <c r="B84" s="100"/>
      <c r="C84" s="136" t="s">
        <v>261</v>
      </c>
      <c r="D84" s="136"/>
      <c r="E84" s="103" t="n">
        <v>60</v>
      </c>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row>
    <row r="85" customFormat="false" ht="15" hidden="false" customHeight="false" outlineLevel="0" collapsed="false">
      <c r="A85" s="100"/>
      <c r="B85" s="100"/>
      <c r="C85" s="137" t="s">
        <v>262</v>
      </c>
      <c r="D85" s="137"/>
      <c r="E85" s="128" t="n">
        <f aca="false">Y79</f>
        <v>483</v>
      </c>
      <c r="F85" s="100"/>
      <c r="G85" s="100"/>
      <c r="H85" s="100"/>
      <c r="I85" s="100"/>
      <c r="J85" s="100"/>
      <c r="K85" s="100"/>
      <c r="L85" s="100"/>
      <c r="M85" s="100"/>
      <c r="N85" s="100"/>
      <c r="O85" s="100"/>
      <c r="P85" s="100"/>
      <c r="Q85" s="100"/>
      <c r="R85" s="100"/>
      <c r="S85" s="100"/>
      <c r="T85" s="100"/>
      <c r="Z85" s="100"/>
      <c r="AA85" s="100"/>
      <c r="AB85" s="100"/>
      <c r="AC85" s="100"/>
      <c r="AD85" s="100"/>
      <c r="AE85" s="100"/>
      <c r="AF85" s="100"/>
      <c r="AG85" s="100"/>
      <c r="AH85" s="100"/>
    </row>
    <row r="86" customFormat="false" ht="14.25" hidden="false" customHeight="false" outlineLevel="0" collapsed="false">
      <c r="A86" s="100"/>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4.25" customHeight="true" zeroHeight="false" outlineLevelRow="0" outlineLevelCol="0"/>
  <cols>
    <col collapsed="false" customWidth="true" hidden="false" outlineLevel="0" max="1" min="1" style="1" width="29.54"/>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4.25" hidden="false" customHeight="false" outlineLevel="0" collapsed="false">
      <c r="A1" s="42" t="s">
        <v>263</v>
      </c>
    </row>
    <row r="4" customFormat="false" ht="14.25" hidden="false" customHeight="false" outlineLevel="0" collapsed="false">
      <c r="A4" s="1" t="s">
        <v>264</v>
      </c>
      <c r="B4" s="138" t="n">
        <v>43739</v>
      </c>
      <c r="D4" s="1" t="s">
        <v>265</v>
      </c>
    </row>
    <row r="5" customFormat="false" ht="14.25" hidden="false" customHeight="false" outlineLevel="0" collapsed="false">
      <c r="A5" s="1" t="s">
        <v>266</v>
      </c>
      <c r="B5" s="138" t="n">
        <v>44621</v>
      </c>
      <c r="D5" s="1" t="s">
        <v>265</v>
      </c>
    </row>
    <row r="6" customFormat="false" ht="14.25" hidden="false" customHeight="false" outlineLevel="0" collapsed="false">
      <c r="A6" s="1" t="s">
        <v>267</v>
      </c>
      <c r="B6" s="139" t="n">
        <f aca="false">B5-B4</f>
        <v>882</v>
      </c>
      <c r="D6" s="1" t="s">
        <v>268</v>
      </c>
    </row>
    <row r="7" customFormat="false" ht="14.25" hidden="false" customHeight="false" outlineLevel="0" collapsed="false">
      <c r="A7" s="1" t="s">
        <v>269</v>
      </c>
      <c r="B7" s="140" t="n">
        <f aca="false">B6/365</f>
        <v>2.41643835616438</v>
      </c>
      <c r="D7" s="1" t="s">
        <v>268</v>
      </c>
    </row>
    <row r="8" customFormat="false" ht="14.25" hidden="false" customHeight="false" outlineLevel="0" collapsed="false">
      <c r="A8" s="1" t="s">
        <v>270</v>
      </c>
      <c r="B8" s="141" t="n">
        <v>7.5</v>
      </c>
      <c r="D8" s="1" t="s">
        <v>265</v>
      </c>
    </row>
    <row r="10" customFormat="false" ht="14.25" hidden="false" customHeight="false" outlineLevel="0" collapsed="false">
      <c r="A10" s="42" t="s">
        <v>271</v>
      </c>
      <c r="C10" s="142" t="n">
        <f aca="false">260*B8*0.2*B7</f>
        <v>942.41095890411</v>
      </c>
      <c r="F10" s="143" t="s">
        <v>272</v>
      </c>
    </row>
    <row r="11" customFormat="false" ht="14.25" hidden="false" customHeight="false" outlineLevel="0" collapsed="false">
      <c r="F11" s="143" t="s">
        <v>273</v>
      </c>
    </row>
    <row r="12" customFormat="false" ht="14.25" hidden="false" customHeight="false" outlineLevel="0" collapsed="false">
      <c r="A12" s="42" t="s">
        <v>274</v>
      </c>
      <c r="C12" s="144" t="e">
        <f aca="false">'otjt log'!#ref!</f>
        <v>#VALUE!</v>
      </c>
      <c r="D12" s="1" t="s">
        <v>268</v>
      </c>
    </row>
    <row r="14" customFormat="false" ht="14.25" hidden="false" customHeight="false" outlineLevel="0" collapsed="false">
      <c r="A14" s="42" t="s">
        <v>275</v>
      </c>
      <c r="C14" s="145" t="e">
        <f aca="false">C12-C10</f>
        <v>#VALUE!</v>
      </c>
    </row>
    <row r="17" customFormat="false" ht="14.25" hidden="false" customHeight="false" outlineLevel="0" collapsed="false">
      <c r="A17" s="146" t="s">
        <v>276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D7" activeCellId="0" sqref="D7"/>
    </sheetView>
  </sheetViews>
  <sheetFormatPr defaultColWidth="8.6796875" defaultRowHeight="14.25" customHeight="true" zeroHeight="false" outlineLevelRow="0" outlineLevelCol="0"/>
  <cols>
    <col collapsed="false" customWidth="true" hidden="false" outlineLevel="0" max="2" min="2" style="1" width="110.45"/>
    <col collapsed="false" customWidth="true" hidden="false" outlineLevel="0" max="7" min="7" style="1" width="6.45"/>
    <col collapsed="false" customWidth="true" hidden="true" outlineLevel="0" max="8" min="8" style="1" width="7.27"/>
    <col collapsed="false" customWidth="true" hidden="true" outlineLevel="0" max="9" min="9" style="1" width="6.82"/>
    <col collapsed="false" customWidth="true" hidden="true" outlineLevel="0" max="14" min="10" style="1" width="9.18"/>
  </cols>
  <sheetData>
    <row r="1" customFormat="false" ht="14.2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47" t="s">
        <v>277</v>
      </c>
      <c r="C2" s="148"/>
      <c r="D2" s="148"/>
      <c r="E2" s="149"/>
      <c r="F2" s="2"/>
      <c r="G2" s="2"/>
      <c r="H2" s="2"/>
      <c r="I2" s="2"/>
      <c r="J2" s="2"/>
      <c r="K2" s="2"/>
      <c r="L2" s="60"/>
      <c r="M2" s="60"/>
      <c r="N2" s="2"/>
      <c r="O2" s="2"/>
      <c r="P2" s="2"/>
      <c r="Q2" s="2"/>
      <c r="R2" s="2"/>
      <c r="S2" s="2"/>
    </row>
    <row r="3" customFormat="false" ht="14.25" hidden="false" customHeight="false" outlineLevel="0" collapsed="false">
      <c r="A3" s="2"/>
      <c r="B3" s="150" t="s">
        <v>278</v>
      </c>
      <c r="C3" s="151"/>
      <c r="D3" s="151"/>
      <c r="E3" s="151"/>
      <c r="F3" s="151"/>
      <c r="G3" s="151"/>
      <c r="H3" s="151"/>
      <c r="I3" s="151"/>
      <c r="J3" s="151"/>
      <c r="K3" s="151"/>
      <c r="L3" s="151"/>
      <c r="M3" s="151"/>
      <c r="N3" s="151"/>
      <c r="O3" s="2"/>
      <c r="P3" s="2"/>
      <c r="Q3" s="2"/>
      <c r="R3" s="2"/>
      <c r="S3" s="2"/>
    </row>
    <row r="4" customFormat="false" ht="14.25" hidden="false" customHeight="false" outlineLevel="0" collapsed="false">
      <c r="A4" s="2"/>
      <c r="B4" s="152" t="s">
        <v>279</v>
      </c>
      <c r="C4" s="151"/>
      <c r="D4" s="151"/>
      <c r="E4" s="151"/>
      <c r="F4" s="151"/>
      <c r="G4" s="151"/>
      <c r="H4" s="151"/>
      <c r="I4" s="151"/>
      <c r="J4" s="151"/>
      <c r="K4" s="151"/>
      <c r="L4" s="151"/>
      <c r="M4" s="151"/>
      <c r="N4" s="151"/>
      <c r="O4" s="2"/>
      <c r="P4" s="2"/>
      <c r="Q4" s="2"/>
      <c r="R4" s="2"/>
      <c r="S4" s="2"/>
    </row>
    <row r="5" customFormat="false" ht="39" hidden="false" customHeight="true" outlineLevel="0" collapsed="false">
      <c r="A5" s="2"/>
      <c r="B5" s="153" t="s">
        <v>280</v>
      </c>
      <c r="C5" s="153"/>
      <c r="D5" s="153"/>
      <c r="E5" s="153"/>
      <c r="F5" s="153"/>
      <c r="G5" s="153"/>
      <c r="H5" s="153"/>
      <c r="I5" s="153"/>
      <c r="J5" s="153"/>
      <c r="K5" s="153"/>
      <c r="L5" s="153"/>
      <c r="M5" s="153"/>
      <c r="N5" s="153"/>
      <c r="O5" s="60"/>
      <c r="P5" s="2"/>
      <c r="Q5" s="2"/>
      <c r="R5" s="2"/>
      <c r="S5" s="2"/>
    </row>
    <row r="6" customFormat="false" ht="14.25" hidden="false" customHeight="false" outlineLevel="0" collapsed="false">
      <c r="A6" s="2"/>
      <c r="B6" s="154" t="s">
        <v>281</v>
      </c>
      <c r="C6" s="154"/>
      <c r="D6" s="154"/>
      <c r="E6" s="155"/>
      <c r="F6" s="156"/>
      <c r="G6" s="154"/>
      <c r="H6" s="154"/>
      <c r="I6" s="154"/>
      <c r="J6" s="156"/>
      <c r="K6" s="154"/>
      <c r="L6" s="157"/>
      <c r="M6" s="155"/>
      <c r="N6" s="154"/>
      <c r="O6" s="60"/>
      <c r="P6" s="60"/>
      <c r="Q6" s="2"/>
      <c r="R6" s="2"/>
      <c r="S6" s="2"/>
    </row>
    <row r="7" customFormat="false" ht="14.25" hidden="false" customHeight="false" outlineLevel="0" collapsed="false">
      <c r="A7" s="2"/>
      <c r="B7" s="2"/>
      <c r="C7" s="2"/>
      <c r="D7" s="2"/>
      <c r="E7" s="2"/>
      <c r="F7" s="60"/>
      <c r="G7" s="2"/>
      <c r="H7" s="2"/>
      <c r="I7" s="2"/>
      <c r="J7" s="60"/>
      <c r="K7" s="2"/>
      <c r="L7" s="2"/>
      <c r="M7" s="2"/>
      <c r="N7" s="2"/>
      <c r="O7" s="60"/>
      <c r="P7" s="2"/>
      <c r="Q7" s="60"/>
      <c r="R7" s="2"/>
      <c r="S7" s="2"/>
    </row>
    <row r="8" customFormat="false" ht="14.25" hidden="false" customHeight="false" outlineLevel="0" collapsed="false">
      <c r="A8" s="2"/>
      <c r="B8" s="2"/>
      <c r="C8" s="2"/>
      <c r="D8" s="2"/>
      <c r="E8" s="2"/>
      <c r="F8" s="2"/>
      <c r="G8" s="2"/>
      <c r="H8" s="2"/>
      <c r="I8" s="2"/>
      <c r="J8" s="2"/>
      <c r="K8" s="2"/>
      <c r="L8" s="2"/>
      <c r="M8" s="2"/>
      <c r="N8" s="2"/>
      <c r="O8" s="2"/>
      <c r="P8" s="2"/>
      <c r="Q8" s="2"/>
      <c r="R8" s="2"/>
      <c r="S8" s="2"/>
    </row>
    <row r="9" customFormat="false" ht="14.25" hidden="false" customHeight="false" outlineLevel="0" collapsed="false">
      <c r="B9" s="158"/>
      <c r="C9" s="159"/>
      <c r="D9" s="159"/>
      <c r="E9" s="159"/>
      <c r="F9" s="159"/>
    </row>
    <row r="10" customFormat="false" ht="14.25" hidden="false" customHeight="false" outlineLevel="0" collapsed="false">
      <c r="B10" s="160" t="s">
        <v>282</v>
      </c>
    </row>
    <row r="11" customFormat="false" ht="14.25" hidden="false" customHeight="false" outlineLevel="0" collapsed="false">
      <c r="B11" s="160"/>
    </row>
    <row r="12" customFormat="false" ht="14.25" hidden="false" customHeight="false" outlineLevel="0" collapsed="false">
      <c r="B12" s="160"/>
    </row>
    <row r="13" customFormat="false" ht="14.25" hidden="false" customHeight="false" outlineLevel="0" collapsed="false">
      <c r="B13" s="160"/>
    </row>
    <row r="14" customFormat="false" ht="14.25" hidden="false" customHeight="false" outlineLevel="0" collapsed="false">
      <c r="B14" s="160"/>
    </row>
    <row r="21" customFormat="false" ht="14.25" hidden="false" customHeight="false" outlineLevel="0" collapsed="false">
      <c r="R21" s="161"/>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3.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bc792f8-6d75-423a-9981-629281829092}" enabled="1" method="Privileged" siteId="{3ded2960-214a-46ff-8cf4-611f125e2398}" removed="0"/>
</clbl:labelList>
</file>

<file path=docProps/app.xml><?xml version="1.0" encoding="utf-8"?>
<Properties xmlns="http://schemas.openxmlformats.org/officeDocument/2006/extended-properties" xmlns:vt="http://schemas.openxmlformats.org/officeDocument/2006/docPropsVTypes">
  <Template/>
  <TotalTime>43</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2026-02-23T14:46:37Z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0x01010060D9039996957B47A2820CA7E129C20F</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